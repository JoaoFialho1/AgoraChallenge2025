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DEV\AgoraChallenge2025\dados\"/>
    </mc:Choice>
  </mc:AlternateContent>
  <xr:revisionPtr revIDLastSave="0" documentId="13_ncr:1_{1CB73B7C-E7A9-4FFB-8C78-0E1072995F3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odelos_APT_2025" sheetId="8" r:id="rId1"/>
    <sheet name="fatores" sheetId="4" r:id="rId2"/>
    <sheet name="retornos" sheetId="25" r:id="rId3"/>
    <sheet name="precos" sheetId="1" r:id="rId4"/>
    <sheet name="correlacao_fatores" sheetId="28" r:id="rId5"/>
    <sheet name="Planilha1" sheetId="30" r:id="rId6"/>
    <sheet name="correlacao_ativos" sheetId="2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71" i="8" l="1"/>
  <c r="I572" i="8"/>
  <c r="I573" i="8"/>
  <c r="I574" i="8"/>
  <c r="I575" i="8"/>
  <c r="I576" i="8"/>
  <c r="I523" i="8"/>
  <c r="I524" i="8"/>
  <c r="I525" i="8"/>
  <c r="I526" i="8"/>
  <c r="I527" i="8"/>
  <c r="I528" i="8"/>
  <c r="I476" i="8"/>
  <c r="I477" i="8"/>
  <c r="I478" i="8"/>
  <c r="I479" i="8"/>
  <c r="I480" i="8"/>
  <c r="I481" i="8"/>
  <c r="I429" i="8"/>
  <c r="I430" i="8"/>
  <c r="I431" i="8"/>
  <c r="I432" i="8"/>
  <c r="I433" i="8"/>
  <c r="I434" i="8"/>
  <c r="I382" i="8"/>
  <c r="I383" i="8"/>
  <c r="I384" i="8"/>
  <c r="I385" i="8"/>
  <c r="I386" i="8"/>
  <c r="I387" i="8"/>
  <c r="I335" i="8"/>
  <c r="I336" i="8"/>
  <c r="I337" i="8"/>
  <c r="I338" i="8"/>
  <c r="I339" i="8"/>
  <c r="I340" i="8"/>
  <c r="I288" i="8"/>
  <c r="I289" i="8"/>
  <c r="I290" i="8"/>
  <c r="I291" i="8"/>
  <c r="I292" i="8"/>
  <c r="I293" i="8"/>
  <c r="I241" i="8"/>
  <c r="I242" i="8"/>
  <c r="I243" i="8"/>
  <c r="I244" i="8"/>
  <c r="I245" i="8"/>
  <c r="I246" i="8"/>
  <c r="I194" i="8"/>
  <c r="I195" i="8"/>
  <c r="I196" i="8"/>
  <c r="I197" i="8"/>
  <c r="I198" i="8"/>
  <c r="I199" i="8"/>
  <c r="I147" i="8"/>
  <c r="I148" i="8"/>
  <c r="I149" i="8"/>
  <c r="I150" i="8"/>
  <c r="I151" i="8"/>
  <c r="I152" i="8"/>
  <c r="I6" i="8"/>
  <c r="I7" i="8"/>
  <c r="I8" i="8"/>
  <c r="I9" i="8"/>
  <c r="I10" i="8"/>
  <c r="I11" i="8"/>
  <c r="I193" i="8"/>
  <c r="J193" i="8" a="1"/>
  <c r="J193" i="8" s="1"/>
  <c r="K193" i="8" a="1"/>
  <c r="K193" i="8" s="1"/>
  <c r="L193" i="8" a="1"/>
  <c r="L193" i="8" s="1"/>
  <c r="M193" i="8" a="1"/>
  <c r="M193" i="8" s="1"/>
  <c r="J194" i="8" a="1"/>
  <c r="J194" i="8" s="1"/>
  <c r="K194" i="8" a="1"/>
  <c r="K194" i="8" s="1"/>
  <c r="L194" i="8" a="1"/>
  <c r="L194" i="8" s="1"/>
  <c r="M194" i="8" a="1"/>
  <c r="M194" i="8" s="1"/>
  <c r="J195" i="8" a="1"/>
  <c r="J195" i="8" s="1"/>
  <c r="K195" i="8" a="1"/>
  <c r="K195" i="8" s="1"/>
  <c r="L195" i="8" a="1"/>
  <c r="L195" i="8" s="1"/>
  <c r="M195" i="8" a="1"/>
  <c r="M195" i="8" s="1"/>
  <c r="J3" i="4"/>
  <c r="J4" i="4"/>
  <c r="J5" i="4"/>
  <c r="J6" i="4"/>
  <c r="J7" i="4"/>
  <c r="J2" i="4"/>
  <c r="I100" i="8"/>
  <c r="I101" i="8"/>
  <c r="I102" i="8"/>
  <c r="I103" i="8"/>
  <c r="I104" i="8"/>
  <c r="I105" i="8"/>
  <c r="I53" i="8"/>
  <c r="I54" i="8"/>
  <c r="I55" i="8"/>
  <c r="I56" i="8"/>
  <c r="I57" i="8"/>
  <c r="I58" i="8"/>
  <c r="L58" i="8" l="1" a="1"/>
  <c r="L58" i="8" s="1"/>
  <c r="I522" i="8"/>
  <c r="I570" i="8"/>
  <c r="M574" i="8" a="1"/>
  <c r="M574" i="8" s="1"/>
  <c r="K574" i="8" a="1"/>
  <c r="K574" i="8" s="1"/>
  <c r="J574" i="8" a="1"/>
  <c r="J574" i="8" s="1"/>
  <c r="L9" i="8" a="1"/>
  <c r="L9" i="8" s="1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L6" i="4"/>
  <c r="AD7" i="4" s="1"/>
  <c r="M6" i="4"/>
  <c r="AE7" i="4" s="1"/>
  <c r="N6" i="4"/>
  <c r="AF7" i="4" s="1"/>
  <c r="O6" i="4"/>
  <c r="AG7" i="4" s="1"/>
  <c r="P6" i="4"/>
  <c r="AH7" i="4" s="1"/>
  <c r="Q6" i="4"/>
  <c r="AI7" i="4" s="1"/>
  <c r="R6" i="4"/>
  <c r="AJ7" i="4" s="1"/>
  <c r="S6" i="4"/>
  <c r="AK7" i="4" s="1"/>
  <c r="T6" i="4"/>
  <c r="U6" i="4"/>
  <c r="V6" i="4"/>
  <c r="W6" i="4"/>
  <c r="X6" i="4"/>
  <c r="Y6" i="4"/>
  <c r="Z6" i="4"/>
  <c r="AA6" i="4"/>
  <c r="AB6" i="4"/>
  <c r="K6" i="4"/>
  <c r="AC7" i="4" s="1"/>
  <c r="I475" i="8"/>
  <c r="M576" i="8" a="1"/>
  <c r="M576" i="8" s="1"/>
  <c r="L576" i="8" a="1"/>
  <c r="L576" i="8" s="1"/>
  <c r="K576" i="8" a="1"/>
  <c r="K576" i="8" s="1"/>
  <c r="J576" i="8" a="1"/>
  <c r="J576" i="8" s="1"/>
  <c r="M575" i="8" a="1"/>
  <c r="M575" i="8" s="1"/>
  <c r="L575" i="8" a="1"/>
  <c r="L575" i="8" s="1"/>
  <c r="K575" i="8" a="1"/>
  <c r="K575" i="8" s="1"/>
  <c r="J575" i="8" a="1"/>
  <c r="J575" i="8" s="1"/>
  <c r="J573" i="8" a="1"/>
  <c r="J573" i="8" s="1"/>
  <c r="M570" i="8" a="1"/>
  <c r="M570" i="8" s="1"/>
  <c r="AB5" i="4"/>
  <c r="S5" i="4"/>
  <c r="AK6" i="4" s="1"/>
  <c r="K5" i="4"/>
  <c r="AC6" i="4" s="1"/>
  <c r="L5" i="4"/>
  <c r="AD6" i="4" s="1"/>
  <c r="M5" i="4"/>
  <c r="AE6" i="4" s="1"/>
  <c r="N5" i="4"/>
  <c r="AF6" i="4" s="1"/>
  <c r="O5" i="4"/>
  <c r="AG6" i="4" s="1"/>
  <c r="P5" i="4"/>
  <c r="AH6" i="4" s="1"/>
  <c r="Q5" i="4"/>
  <c r="AI6" i="4" s="1"/>
  <c r="R5" i="4"/>
  <c r="AJ6" i="4" s="1"/>
  <c r="T5" i="4"/>
  <c r="U5" i="4"/>
  <c r="V5" i="4"/>
  <c r="W5" i="4"/>
  <c r="X5" i="4"/>
  <c r="Y5" i="4"/>
  <c r="Z5" i="4"/>
  <c r="AA5" i="4"/>
  <c r="J570" i="8" l="1" a="1"/>
  <c r="J570" i="8" s="1"/>
  <c r="K570" i="8" a="1"/>
  <c r="K570" i="8" s="1"/>
  <c r="L570" i="8" a="1"/>
  <c r="L570" i="8" s="1"/>
  <c r="J571" i="8" a="1"/>
  <c r="J571" i="8" s="1"/>
  <c r="K571" i="8" a="1"/>
  <c r="K571" i="8" s="1"/>
  <c r="L571" i="8" a="1"/>
  <c r="L571" i="8" s="1"/>
  <c r="J572" i="8" a="1"/>
  <c r="J572" i="8" s="1"/>
  <c r="K572" i="8" a="1"/>
  <c r="K572" i="8" s="1"/>
  <c r="L573" i="8" a="1"/>
  <c r="L573" i="8" s="1"/>
  <c r="M571" i="8" a="1"/>
  <c r="M571" i="8" s="1"/>
  <c r="M573" i="8" a="1"/>
  <c r="M573" i="8" s="1"/>
  <c r="L572" i="8" a="1"/>
  <c r="L572" i="8" s="1"/>
  <c r="K573" i="8" a="1"/>
  <c r="K573" i="8" s="1"/>
  <c r="M572" i="8" a="1"/>
  <c r="M572" i="8" s="1"/>
  <c r="L574" i="8" a="1"/>
  <c r="L574" i="8" s="1"/>
  <c r="I428" i="8"/>
  <c r="I381" i="8"/>
  <c r="I334" i="8"/>
  <c r="I287" i="8"/>
  <c r="I240" i="8"/>
  <c r="I146" i="8"/>
  <c r="I99" i="8"/>
  <c r="I52" i="8"/>
  <c r="I5" i="8"/>
  <c r="J146" i="8" a="1"/>
  <c r="J146" i="8" s="1"/>
  <c r="K146" i="8" a="1"/>
  <c r="K146" i="8" s="1"/>
  <c r="L146" i="8" a="1"/>
  <c r="L146" i="8" s="1"/>
  <c r="M146" i="8" a="1"/>
  <c r="M146" i="8" s="1"/>
  <c r="J147" i="8" a="1"/>
  <c r="J147" i="8" s="1"/>
  <c r="K147" i="8" a="1"/>
  <c r="K147" i="8" s="1"/>
  <c r="L147" i="8" a="1"/>
  <c r="L147" i="8" s="1"/>
  <c r="M147" i="8" a="1"/>
  <c r="M147" i="8" s="1"/>
  <c r="J148" i="8" a="1"/>
  <c r="J148" i="8" s="1"/>
  <c r="K148" i="8" a="1"/>
  <c r="K148" i="8" s="1"/>
  <c r="L148" i="8" a="1"/>
  <c r="L148" i="8" s="1"/>
  <c r="M148" i="8" a="1"/>
  <c r="M148" i="8" s="1"/>
  <c r="M528" i="8" a="1"/>
  <c r="M528" i="8" s="1"/>
  <c r="L528" i="8" a="1"/>
  <c r="L528" i="8" s="1"/>
  <c r="K528" i="8" a="1"/>
  <c r="K528" i="8" s="1"/>
  <c r="J528" i="8" a="1"/>
  <c r="J528" i="8" s="1"/>
  <c r="M527" i="8" a="1"/>
  <c r="M527" i="8" s="1"/>
  <c r="L527" i="8" a="1"/>
  <c r="L527" i="8" s="1"/>
  <c r="K527" i="8" a="1"/>
  <c r="K527" i="8" s="1"/>
  <c r="J527" i="8" a="1"/>
  <c r="J527" i="8" s="1"/>
  <c r="M526" i="8" a="1"/>
  <c r="M526" i="8" s="1"/>
  <c r="L526" i="8" a="1"/>
  <c r="L526" i="8" s="1"/>
  <c r="K526" i="8" a="1"/>
  <c r="K526" i="8" s="1"/>
  <c r="J526" i="8" a="1"/>
  <c r="J526" i="8" s="1"/>
  <c r="M525" i="8" a="1"/>
  <c r="M525" i="8" s="1"/>
  <c r="L525" i="8" a="1"/>
  <c r="L525" i="8" s="1"/>
  <c r="K525" i="8" a="1"/>
  <c r="K525" i="8" s="1"/>
  <c r="J525" i="8" a="1"/>
  <c r="J525" i="8" s="1"/>
  <c r="M524" i="8" a="1"/>
  <c r="M524" i="8" s="1"/>
  <c r="L524" i="8" a="1"/>
  <c r="L524" i="8" s="1"/>
  <c r="K524" i="8" a="1"/>
  <c r="K524" i="8" s="1"/>
  <c r="J524" i="8" a="1"/>
  <c r="J524" i="8" s="1"/>
  <c r="M523" i="8" a="1"/>
  <c r="M523" i="8" s="1"/>
  <c r="L523" i="8" a="1"/>
  <c r="L523" i="8" s="1"/>
  <c r="K523" i="8" a="1"/>
  <c r="K523" i="8" s="1"/>
  <c r="J523" i="8" a="1"/>
  <c r="J523" i="8" s="1"/>
  <c r="M522" i="8" a="1"/>
  <c r="M522" i="8" s="1"/>
  <c r="L522" i="8" a="1"/>
  <c r="L522" i="8" s="1"/>
  <c r="K522" i="8" a="1"/>
  <c r="K522" i="8" s="1"/>
  <c r="J522" i="8" a="1"/>
  <c r="J522" i="8" s="1"/>
  <c r="M481" i="8" a="1"/>
  <c r="M481" i="8" s="1"/>
  <c r="L481" i="8" a="1"/>
  <c r="L481" i="8" s="1"/>
  <c r="K481" i="8" a="1"/>
  <c r="K481" i="8" s="1"/>
  <c r="J481" i="8" a="1"/>
  <c r="J481" i="8" s="1"/>
  <c r="M480" i="8" a="1"/>
  <c r="M480" i="8" s="1"/>
  <c r="L480" i="8" a="1"/>
  <c r="L480" i="8" s="1"/>
  <c r="K480" i="8" a="1"/>
  <c r="K480" i="8" s="1"/>
  <c r="J480" i="8" a="1"/>
  <c r="J480" i="8" s="1"/>
  <c r="M479" i="8" a="1"/>
  <c r="M479" i="8" s="1"/>
  <c r="L479" i="8" a="1"/>
  <c r="L479" i="8" s="1"/>
  <c r="K479" i="8" a="1"/>
  <c r="K479" i="8" s="1"/>
  <c r="J479" i="8" a="1"/>
  <c r="J479" i="8" s="1"/>
  <c r="M478" i="8" a="1"/>
  <c r="M478" i="8" s="1"/>
  <c r="L478" i="8" a="1"/>
  <c r="L478" i="8" s="1"/>
  <c r="K478" i="8" a="1"/>
  <c r="K478" i="8" s="1"/>
  <c r="J478" i="8" a="1"/>
  <c r="J478" i="8" s="1"/>
  <c r="M477" i="8" a="1"/>
  <c r="M477" i="8" s="1"/>
  <c r="L477" i="8" a="1"/>
  <c r="L477" i="8" s="1"/>
  <c r="K477" i="8" a="1"/>
  <c r="K477" i="8" s="1"/>
  <c r="J477" i="8" a="1"/>
  <c r="J477" i="8" s="1"/>
  <c r="M476" i="8" a="1"/>
  <c r="M476" i="8" s="1"/>
  <c r="L476" i="8" a="1"/>
  <c r="L476" i="8" s="1"/>
  <c r="K476" i="8" a="1"/>
  <c r="K476" i="8" s="1"/>
  <c r="J476" i="8" a="1"/>
  <c r="J476" i="8" s="1"/>
  <c r="M475" i="8" a="1"/>
  <c r="M475" i="8" s="1"/>
  <c r="L475" i="8" a="1"/>
  <c r="L475" i="8" s="1"/>
  <c r="K475" i="8" a="1"/>
  <c r="K475" i="8" s="1"/>
  <c r="J475" i="8" a="1"/>
  <c r="J475" i="8" s="1"/>
  <c r="M434" i="8" a="1"/>
  <c r="M434" i="8" s="1"/>
  <c r="L434" i="8" a="1"/>
  <c r="L434" i="8" s="1"/>
  <c r="K434" i="8" a="1"/>
  <c r="K434" i="8" s="1"/>
  <c r="J434" i="8" a="1"/>
  <c r="J434" i="8" s="1"/>
  <c r="M433" i="8" a="1"/>
  <c r="M433" i="8" s="1"/>
  <c r="L433" i="8" a="1"/>
  <c r="L433" i="8" s="1"/>
  <c r="K433" i="8" a="1"/>
  <c r="K433" i="8" s="1"/>
  <c r="J433" i="8" a="1"/>
  <c r="J433" i="8" s="1"/>
  <c r="M432" i="8" a="1"/>
  <c r="M432" i="8" s="1"/>
  <c r="L432" i="8" a="1"/>
  <c r="L432" i="8" s="1"/>
  <c r="K432" i="8" a="1"/>
  <c r="K432" i="8" s="1"/>
  <c r="J432" i="8" a="1"/>
  <c r="J432" i="8" s="1"/>
  <c r="M431" i="8" a="1"/>
  <c r="M431" i="8" s="1"/>
  <c r="L431" i="8" a="1"/>
  <c r="L431" i="8" s="1"/>
  <c r="K431" i="8" a="1"/>
  <c r="K431" i="8" s="1"/>
  <c r="J431" i="8" a="1"/>
  <c r="J431" i="8" s="1"/>
  <c r="M430" i="8" a="1"/>
  <c r="M430" i="8" s="1"/>
  <c r="L430" i="8" a="1"/>
  <c r="L430" i="8" s="1"/>
  <c r="K430" i="8" a="1"/>
  <c r="K430" i="8" s="1"/>
  <c r="J430" i="8" a="1"/>
  <c r="J430" i="8" s="1"/>
  <c r="M429" i="8" a="1"/>
  <c r="M429" i="8" s="1"/>
  <c r="L429" i="8" a="1"/>
  <c r="L429" i="8" s="1"/>
  <c r="K429" i="8" a="1"/>
  <c r="K429" i="8" s="1"/>
  <c r="J429" i="8" a="1"/>
  <c r="J429" i="8" s="1"/>
  <c r="M428" i="8" a="1"/>
  <c r="M428" i="8" s="1"/>
  <c r="L428" i="8" a="1"/>
  <c r="L428" i="8" s="1"/>
  <c r="K428" i="8" a="1"/>
  <c r="K428" i="8" s="1"/>
  <c r="J428" i="8" a="1"/>
  <c r="J428" i="8" s="1"/>
  <c r="M387" i="8" a="1"/>
  <c r="M387" i="8" s="1"/>
  <c r="L387" i="8" a="1"/>
  <c r="L387" i="8" s="1"/>
  <c r="K387" i="8" a="1"/>
  <c r="K387" i="8" s="1"/>
  <c r="J387" i="8" a="1"/>
  <c r="J387" i="8" s="1"/>
  <c r="M386" i="8" a="1"/>
  <c r="M386" i="8" s="1"/>
  <c r="L386" i="8" a="1"/>
  <c r="L386" i="8" s="1"/>
  <c r="K386" i="8" a="1"/>
  <c r="K386" i="8" s="1"/>
  <c r="J386" i="8" a="1"/>
  <c r="J386" i="8" s="1"/>
  <c r="M385" i="8" a="1"/>
  <c r="M385" i="8" s="1"/>
  <c r="L385" i="8" a="1"/>
  <c r="L385" i="8" s="1"/>
  <c r="K385" i="8" a="1"/>
  <c r="K385" i="8" s="1"/>
  <c r="J385" i="8" a="1"/>
  <c r="J385" i="8" s="1"/>
  <c r="M384" i="8" a="1"/>
  <c r="M384" i="8" s="1"/>
  <c r="L384" i="8" a="1"/>
  <c r="L384" i="8" s="1"/>
  <c r="K384" i="8" a="1"/>
  <c r="K384" i="8" s="1"/>
  <c r="J384" i="8" a="1"/>
  <c r="J384" i="8" s="1"/>
  <c r="M383" i="8" a="1"/>
  <c r="M383" i="8" s="1"/>
  <c r="L383" i="8" a="1"/>
  <c r="L383" i="8" s="1"/>
  <c r="K383" i="8" a="1"/>
  <c r="K383" i="8" s="1"/>
  <c r="J383" i="8" a="1"/>
  <c r="J383" i="8" s="1"/>
  <c r="M382" i="8" a="1"/>
  <c r="M382" i="8" s="1"/>
  <c r="L382" i="8" a="1"/>
  <c r="L382" i="8" s="1"/>
  <c r="K382" i="8" a="1"/>
  <c r="K382" i="8" s="1"/>
  <c r="J382" i="8" a="1"/>
  <c r="J382" i="8" s="1"/>
  <c r="M381" i="8" a="1"/>
  <c r="M381" i="8" s="1"/>
  <c r="L381" i="8" a="1"/>
  <c r="L381" i="8" s="1"/>
  <c r="K381" i="8" a="1"/>
  <c r="K381" i="8" s="1"/>
  <c r="J381" i="8" a="1"/>
  <c r="J381" i="8" s="1"/>
  <c r="M340" i="8" a="1"/>
  <c r="M340" i="8" s="1"/>
  <c r="L340" i="8" a="1"/>
  <c r="L340" i="8" s="1"/>
  <c r="K340" i="8" a="1"/>
  <c r="K340" i="8" s="1"/>
  <c r="J340" i="8" a="1"/>
  <c r="J340" i="8" s="1"/>
  <c r="M339" i="8" a="1"/>
  <c r="M339" i="8" s="1"/>
  <c r="L339" i="8" a="1"/>
  <c r="L339" i="8" s="1"/>
  <c r="K339" i="8" a="1"/>
  <c r="K339" i="8" s="1"/>
  <c r="J339" i="8" a="1"/>
  <c r="J339" i="8" s="1"/>
  <c r="M338" i="8" a="1"/>
  <c r="M338" i="8" s="1"/>
  <c r="L338" i="8" a="1"/>
  <c r="L338" i="8" s="1"/>
  <c r="K338" i="8" a="1"/>
  <c r="K338" i="8" s="1"/>
  <c r="J338" i="8" a="1"/>
  <c r="J338" i="8" s="1"/>
  <c r="M337" i="8" a="1"/>
  <c r="M337" i="8" s="1"/>
  <c r="L337" i="8" a="1"/>
  <c r="L337" i="8" s="1"/>
  <c r="K337" i="8" a="1"/>
  <c r="K337" i="8" s="1"/>
  <c r="J337" i="8" a="1"/>
  <c r="J337" i="8" s="1"/>
  <c r="M336" i="8" a="1"/>
  <c r="M336" i="8" s="1"/>
  <c r="L336" i="8" a="1"/>
  <c r="L336" i="8" s="1"/>
  <c r="K336" i="8" a="1"/>
  <c r="K336" i="8" s="1"/>
  <c r="J336" i="8" a="1"/>
  <c r="J336" i="8" s="1"/>
  <c r="M335" i="8" a="1"/>
  <c r="M335" i="8" s="1"/>
  <c r="L335" i="8" a="1"/>
  <c r="L335" i="8" s="1"/>
  <c r="K335" i="8" a="1"/>
  <c r="K335" i="8" s="1"/>
  <c r="J335" i="8" a="1"/>
  <c r="J335" i="8" s="1"/>
  <c r="M334" i="8" a="1"/>
  <c r="M334" i="8" s="1"/>
  <c r="L334" i="8" a="1"/>
  <c r="L334" i="8" s="1"/>
  <c r="K334" i="8" a="1"/>
  <c r="K334" i="8" s="1"/>
  <c r="J334" i="8" a="1"/>
  <c r="J334" i="8" s="1"/>
  <c r="M293" i="8" a="1"/>
  <c r="M293" i="8" s="1"/>
  <c r="L293" i="8" a="1"/>
  <c r="L293" i="8" s="1"/>
  <c r="K293" i="8" a="1"/>
  <c r="K293" i="8" s="1"/>
  <c r="J293" i="8" a="1"/>
  <c r="J293" i="8" s="1"/>
  <c r="M292" i="8" a="1"/>
  <c r="M292" i="8" s="1"/>
  <c r="L292" i="8" a="1"/>
  <c r="L292" i="8" s="1"/>
  <c r="K292" i="8" a="1"/>
  <c r="K292" i="8" s="1"/>
  <c r="J292" i="8" a="1"/>
  <c r="J292" i="8" s="1"/>
  <c r="M291" i="8" a="1"/>
  <c r="M291" i="8" s="1"/>
  <c r="L291" i="8" a="1"/>
  <c r="L291" i="8" s="1"/>
  <c r="K291" i="8" a="1"/>
  <c r="K291" i="8" s="1"/>
  <c r="J291" i="8" a="1"/>
  <c r="J291" i="8" s="1"/>
  <c r="M290" i="8" a="1"/>
  <c r="M290" i="8" s="1"/>
  <c r="L290" i="8" a="1"/>
  <c r="L290" i="8" s="1"/>
  <c r="K290" i="8" a="1"/>
  <c r="K290" i="8" s="1"/>
  <c r="J290" i="8" a="1"/>
  <c r="J290" i="8" s="1"/>
  <c r="M289" i="8" a="1"/>
  <c r="M289" i="8" s="1"/>
  <c r="L289" i="8" a="1"/>
  <c r="L289" i="8" s="1"/>
  <c r="K289" i="8" a="1"/>
  <c r="K289" i="8" s="1"/>
  <c r="J289" i="8" a="1"/>
  <c r="J289" i="8" s="1"/>
  <c r="M288" i="8" a="1"/>
  <c r="M288" i="8" s="1"/>
  <c r="L288" i="8" a="1"/>
  <c r="L288" i="8" s="1"/>
  <c r="K288" i="8" a="1"/>
  <c r="K288" i="8" s="1"/>
  <c r="J288" i="8" a="1"/>
  <c r="J288" i="8" s="1"/>
  <c r="M287" i="8" a="1"/>
  <c r="M287" i="8" s="1"/>
  <c r="L287" i="8" a="1"/>
  <c r="L287" i="8" s="1"/>
  <c r="K287" i="8" a="1"/>
  <c r="K287" i="8" s="1"/>
  <c r="J287" i="8" a="1"/>
  <c r="J287" i="8" s="1"/>
  <c r="M246" i="8" a="1"/>
  <c r="M246" i="8" s="1"/>
  <c r="L246" i="8" a="1"/>
  <c r="L246" i="8" s="1"/>
  <c r="K246" i="8" a="1"/>
  <c r="K246" i="8" s="1"/>
  <c r="J246" i="8" a="1"/>
  <c r="J246" i="8" s="1"/>
  <c r="M245" i="8" a="1"/>
  <c r="M245" i="8" s="1"/>
  <c r="L245" i="8" a="1"/>
  <c r="L245" i="8" s="1"/>
  <c r="K245" i="8" a="1"/>
  <c r="K245" i="8" s="1"/>
  <c r="J245" i="8" a="1"/>
  <c r="J245" i="8" s="1"/>
  <c r="M244" i="8" a="1"/>
  <c r="M244" i="8" s="1"/>
  <c r="L244" i="8" a="1"/>
  <c r="L244" i="8" s="1"/>
  <c r="K244" i="8" a="1"/>
  <c r="K244" i="8" s="1"/>
  <c r="J244" i="8" a="1"/>
  <c r="J244" i="8" s="1"/>
  <c r="M243" i="8" a="1"/>
  <c r="M243" i="8" s="1"/>
  <c r="L243" i="8" a="1"/>
  <c r="L243" i="8" s="1"/>
  <c r="K243" i="8" a="1"/>
  <c r="K243" i="8" s="1"/>
  <c r="J243" i="8" a="1"/>
  <c r="J243" i="8" s="1"/>
  <c r="M242" i="8" a="1"/>
  <c r="M242" i="8" s="1"/>
  <c r="L242" i="8" a="1"/>
  <c r="L242" i="8" s="1"/>
  <c r="K242" i="8" a="1"/>
  <c r="K242" i="8" s="1"/>
  <c r="J242" i="8" a="1"/>
  <c r="J242" i="8" s="1"/>
  <c r="M241" i="8" a="1"/>
  <c r="M241" i="8" s="1"/>
  <c r="L241" i="8" a="1"/>
  <c r="L241" i="8" s="1"/>
  <c r="K241" i="8" a="1"/>
  <c r="K241" i="8" s="1"/>
  <c r="J241" i="8" a="1"/>
  <c r="J241" i="8" s="1"/>
  <c r="M240" i="8" a="1"/>
  <c r="M240" i="8" s="1"/>
  <c r="L240" i="8" a="1"/>
  <c r="L240" i="8" s="1"/>
  <c r="K240" i="8" a="1"/>
  <c r="K240" i="8" s="1"/>
  <c r="J240" i="8" a="1"/>
  <c r="J240" i="8" s="1"/>
  <c r="M199" i="8" a="1"/>
  <c r="M199" i="8" s="1"/>
  <c r="L199" i="8" a="1"/>
  <c r="L199" i="8" s="1"/>
  <c r="K199" i="8" a="1"/>
  <c r="K199" i="8" s="1"/>
  <c r="J199" i="8" a="1"/>
  <c r="J199" i="8" s="1"/>
  <c r="M198" i="8" a="1"/>
  <c r="M198" i="8" s="1"/>
  <c r="L198" i="8" a="1"/>
  <c r="L198" i="8" s="1"/>
  <c r="K198" i="8" a="1"/>
  <c r="K198" i="8" s="1"/>
  <c r="J198" i="8" a="1"/>
  <c r="J198" i="8" s="1"/>
  <c r="M197" i="8" a="1"/>
  <c r="M197" i="8" s="1"/>
  <c r="L197" i="8" a="1"/>
  <c r="L197" i="8" s="1"/>
  <c r="K197" i="8" a="1"/>
  <c r="K197" i="8" s="1"/>
  <c r="J197" i="8" a="1"/>
  <c r="J197" i="8" s="1"/>
  <c r="M196" i="8" a="1"/>
  <c r="M196" i="8" s="1"/>
  <c r="L196" i="8" a="1"/>
  <c r="L196" i="8" s="1"/>
  <c r="K196" i="8" a="1"/>
  <c r="K196" i="8" s="1"/>
  <c r="J196" i="8" a="1"/>
  <c r="J196" i="8" s="1"/>
  <c r="M152" i="8" a="1"/>
  <c r="M152" i="8" s="1"/>
  <c r="L152" i="8" a="1"/>
  <c r="L152" i="8" s="1"/>
  <c r="K152" i="8" a="1"/>
  <c r="K152" i="8" s="1"/>
  <c r="J152" i="8" a="1"/>
  <c r="J152" i="8" s="1"/>
  <c r="M151" i="8" a="1"/>
  <c r="M151" i="8" s="1"/>
  <c r="L151" i="8" a="1"/>
  <c r="L151" i="8" s="1"/>
  <c r="K151" i="8" a="1"/>
  <c r="K151" i="8" s="1"/>
  <c r="J151" i="8" a="1"/>
  <c r="J151" i="8" s="1"/>
  <c r="M150" i="8" a="1"/>
  <c r="M150" i="8" s="1"/>
  <c r="L150" i="8" a="1"/>
  <c r="L150" i="8" s="1"/>
  <c r="K150" i="8" a="1"/>
  <c r="K150" i="8" s="1"/>
  <c r="J150" i="8" a="1"/>
  <c r="J150" i="8" s="1"/>
  <c r="M149" i="8" a="1"/>
  <c r="M149" i="8" s="1"/>
  <c r="L149" i="8" a="1"/>
  <c r="L149" i="8" s="1"/>
  <c r="K149" i="8" a="1"/>
  <c r="K149" i="8" s="1"/>
  <c r="J149" i="8" a="1"/>
  <c r="J149" i="8" s="1"/>
  <c r="M105" i="8" a="1"/>
  <c r="M105" i="8" s="1"/>
  <c r="L105" i="8" a="1"/>
  <c r="L105" i="8" s="1"/>
  <c r="K105" i="8" a="1"/>
  <c r="K105" i="8" s="1"/>
  <c r="J105" i="8" a="1"/>
  <c r="J105" i="8" s="1"/>
  <c r="M104" i="8" a="1"/>
  <c r="M104" i="8" s="1"/>
  <c r="L104" i="8" a="1"/>
  <c r="L104" i="8" s="1"/>
  <c r="K104" i="8" a="1"/>
  <c r="K104" i="8" s="1"/>
  <c r="J104" i="8" a="1"/>
  <c r="J104" i="8" s="1"/>
  <c r="M103" i="8" a="1"/>
  <c r="M103" i="8" s="1"/>
  <c r="L103" i="8" a="1"/>
  <c r="L103" i="8" s="1"/>
  <c r="K103" i="8" a="1"/>
  <c r="K103" i="8" s="1"/>
  <c r="J103" i="8" a="1"/>
  <c r="J103" i="8" s="1"/>
  <c r="M102" i="8" a="1"/>
  <c r="M102" i="8" s="1"/>
  <c r="L102" i="8" a="1"/>
  <c r="L102" i="8" s="1"/>
  <c r="K102" i="8" a="1"/>
  <c r="K102" i="8" s="1"/>
  <c r="J102" i="8" a="1"/>
  <c r="J102" i="8" s="1"/>
  <c r="M101" i="8" a="1"/>
  <c r="M101" i="8" s="1"/>
  <c r="L101" i="8" a="1"/>
  <c r="L101" i="8" s="1"/>
  <c r="K101" i="8" a="1"/>
  <c r="K101" i="8" s="1"/>
  <c r="J101" i="8" a="1"/>
  <c r="J101" i="8" s="1"/>
  <c r="M100" i="8" a="1"/>
  <c r="M100" i="8" s="1"/>
  <c r="L100" i="8" a="1"/>
  <c r="L100" i="8" s="1"/>
  <c r="K100" i="8" a="1"/>
  <c r="K100" i="8" s="1"/>
  <c r="J100" i="8" a="1"/>
  <c r="J100" i="8" s="1"/>
  <c r="M99" i="8" a="1"/>
  <c r="M99" i="8" s="1"/>
  <c r="L99" i="8" a="1"/>
  <c r="L99" i="8" s="1"/>
  <c r="K99" i="8" a="1"/>
  <c r="K99" i="8" s="1"/>
  <c r="J99" i="8" a="1"/>
  <c r="J99" i="8" s="1"/>
  <c r="L54" i="8" a="1"/>
  <c r="L54" i="8" s="1"/>
  <c r="M58" i="8" a="1"/>
  <c r="M58" i="8" s="1"/>
  <c r="K58" i="8" a="1"/>
  <c r="K58" i="8" s="1"/>
  <c r="J58" i="8" a="1"/>
  <c r="J58" i="8" s="1"/>
  <c r="M57" i="8" a="1"/>
  <c r="M57" i="8" s="1"/>
  <c r="L57" i="8" a="1"/>
  <c r="L57" i="8" s="1"/>
  <c r="K57" i="8" a="1"/>
  <c r="K57" i="8" s="1"/>
  <c r="J57" i="8" a="1"/>
  <c r="J57" i="8" s="1"/>
  <c r="M56" i="8" a="1"/>
  <c r="M56" i="8" s="1"/>
  <c r="L56" i="8" a="1"/>
  <c r="L56" i="8" s="1"/>
  <c r="K56" i="8" a="1"/>
  <c r="K56" i="8" s="1"/>
  <c r="J56" i="8" a="1"/>
  <c r="J56" i="8" s="1"/>
  <c r="M55" i="8" a="1"/>
  <c r="M55" i="8" s="1"/>
  <c r="L55" i="8" a="1"/>
  <c r="L55" i="8" s="1"/>
  <c r="K55" i="8" a="1"/>
  <c r="K55" i="8" s="1"/>
  <c r="J55" i="8" a="1"/>
  <c r="J55" i="8" s="1"/>
  <c r="M54" i="8" a="1"/>
  <c r="M54" i="8" s="1"/>
  <c r="K54" i="8" a="1"/>
  <c r="K54" i="8" s="1"/>
  <c r="J54" i="8" a="1"/>
  <c r="J54" i="8" s="1"/>
  <c r="M53" i="8" a="1"/>
  <c r="M53" i="8" s="1"/>
  <c r="L53" i="8" a="1"/>
  <c r="L53" i="8" s="1"/>
  <c r="K53" i="8" a="1"/>
  <c r="K53" i="8" s="1"/>
  <c r="J53" i="8" a="1"/>
  <c r="J53" i="8" s="1"/>
  <c r="M52" i="8" a="1"/>
  <c r="M52" i="8" s="1"/>
  <c r="L52" i="8" a="1"/>
  <c r="L52" i="8" s="1"/>
  <c r="K52" i="8" a="1"/>
  <c r="K52" i="8" s="1"/>
  <c r="J52" i="8" a="1"/>
  <c r="J52" i="8" s="1"/>
  <c r="L7" i="8" a="1"/>
  <c r="L7" i="8" s="1"/>
  <c r="K5" i="8" a="1"/>
  <c r="K5" i="8" s="1"/>
  <c r="L5" i="8" a="1"/>
  <c r="L5" i="8" s="1"/>
  <c r="M5" i="8" a="1"/>
  <c r="M5" i="8" s="1"/>
  <c r="K6" i="8" a="1"/>
  <c r="K6" i="8" s="1"/>
  <c r="L6" i="8" a="1"/>
  <c r="L6" i="8" s="1"/>
  <c r="M6" i="8" a="1"/>
  <c r="M6" i="8" s="1"/>
  <c r="K7" i="8" a="1"/>
  <c r="K7" i="8" s="1"/>
  <c r="M7" i="8" a="1"/>
  <c r="M7" i="8" s="1"/>
  <c r="K8" i="8" a="1"/>
  <c r="K8" i="8" s="1"/>
  <c r="L8" i="8" a="1"/>
  <c r="L8" i="8" s="1"/>
  <c r="M8" i="8" a="1"/>
  <c r="M8" i="8" s="1"/>
  <c r="K9" i="8" a="1"/>
  <c r="K9" i="8" s="1"/>
  <c r="M9" i="8" a="1"/>
  <c r="M9" i="8" s="1"/>
  <c r="K10" i="8" a="1"/>
  <c r="K10" i="8" s="1"/>
  <c r="L10" i="8" a="1"/>
  <c r="L10" i="8" s="1"/>
  <c r="M10" i="8" a="1"/>
  <c r="M10" i="8" s="1"/>
  <c r="K11" i="8" a="1"/>
  <c r="K11" i="8" s="1"/>
  <c r="L11" i="8" a="1"/>
  <c r="L11" i="8" s="1"/>
  <c r="M11" i="8" a="1"/>
  <c r="M11" i="8" s="1"/>
  <c r="J11" i="8" a="1"/>
  <c r="J11" i="8" s="1"/>
  <c r="J10" i="8" a="1"/>
  <c r="J10" i="8" s="1"/>
  <c r="J9" i="8" a="1"/>
  <c r="J9" i="8" s="1"/>
  <c r="J8" i="8" a="1"/>
  <c r="J8" i="8" s="1"/>
  <c r="J7" i="8" a="1"/>
  <c r="J7" i="8" s="1"/>
  <c r="J6" i="8" a="1"/>
  <c r="J6" i="8" s="1"/>
  <c r="J5" i="8" a="1"/>
  <c r="J5" i="8" s="1"/>
  <c r="U2" i="4"/>
  <c r="V2" i="4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AJ2" i="4"/>
  <c r="AK2" i="4"/>
  <c r="T2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U4" i="4"/>
  <c r="V4" i="4"/>
  <c r="W4" i="4"/>
  <c r="X4" i="4"/>
  <c r="Y4" i="4"/>
  <c r="Z4" i="4"/>
  <c r="AA4" i="4"/>
  <c r="AB4" i="4"/>
  <c r="T4" i="4"/>
  <c r="T3" i="4"/>
  <c r="U1" i="4"/>
  <c r="V1" i="4"/>
  <c r="W1" i="4"/>
  <c r="X1" i="4"/>
  <c r="Y1" i="4"/>
  <c r="Z1" i="4"/>
  <c r="AA1" i="4"/>
  <c r="AB1" i="4"/>
  <c r="T1" i="4"/>
  <c r="S1" i="4" l="1"/>
  <c r="AK1" i="4" s="1"/>
  <c r="R1" i="4"/>
  <c r="AJ1" i="4" s="1"/>
  <c r="Q1" i="4"/>
  <c r="AI1" i="4" s="1"/>
  <c r="P1" i="4"/>
  <c r="AH1" i="4" s="1"/>
  <c r="O1" i="4"/>
  <c r="AG1" i="4" s="1"/>
  <c r="N1" i="4"/>
  <c r="AF1" i="4" s="1"/>
  <c r="M1" i="4"/>
  <c r="AE1" i="4" s="1"/>
  <c r="L1" i="4"/>
  <c r="AD1" i="4" s="1"/>
  <c r="K1" i="4"/>
  <c r="AC1" i="4" s="1"/>
  <c r="S3" i="4"/>
  <c r="AK4" i="4" s="1"/>
  <c r="S4" i="4"/>
  <c r="AK5" i="4" s="1"/>
  <c r="L3" i="4"/>
  <c r="AD4" i="4" s="1"/>
  <c r="M3" i="4"/>
  <c r="AE4" i="4" s="1"/>
  <c r="N3" i="4"/>
  <c r="AF4" i="4" s="1"/>
  <c r="O3" i="4"/>
  <c r="AG4" i="4" s="1"/>
  <c r="P3" i="4"/>
  <c r="AH4" i="4" s="1"/>
  <c r="Q3" i="4"/>
  <c r="AI4" i="4" s="1"/>
  <c r="R3" i="4"/>
  <c r="AJ4" i="4" s="1"/>
  <c r="L4" i="4"/>
  <c r="AD5" i="4" s="1"/>
  <c r="M4" i="4"/>
  <c r="AE5" i="4" s="1"/>
  <c r="N4" i="4"/>
  <c r="AF5" i="4" s="1"/>
  <c r="O4" i="4"/>
  <c r="AG5" i="4" s="1"/>
  <c r="P4" i="4"/>
  <c r="AH5" i="4" s="1"/>
  <c r="Q4" i="4"/>
  <c r="AI5" i="4" s="1"/>
  <c r="R4" i="4"/>
  <c r="AJ5" i="4" s="1"/>
  <c r="K4" i="4"/>
  <c r="AC5" i="4" s="1"/>
  <c r="K3" i="4"/>
  <c r="AC4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Máquina</author>
  </authors>
  <commentList>
    <comment ref="I4" authorId="0" shapeId="0" xr:uid="{A7E07A32-C1B7-4D0E-84CE-1DF44DB015AF}">
      <text>
        <r>
          <rPr>
            <b/>
            <sz val="9"/>
            <color indexed="81"/>
            <rFont val="Segoe UI"/>
            <family val="2"/>
          </rPr>
          <t>Valor Realizado</t>
        </r>
      </text>
    </comment>
    <comment ref="J4" authorId="0" shapeId="0" xr:uid="{C2B8B969-608E-42EE-9BCC-D1C213536330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K4" authorId="0" shapeId="0" xr:uid="{063D4B42-71A4-44B6-911B-FB9EEA61DAAC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L4" authorId="0" shapeId="0" xr:uid="{A75A69AE-6725-48B0-A705-AAC00FC1835E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M4" authorId="0" shapeId="0" xr:uid="{6A43BE23-89FE-41F3-85FD-4B8432DB7883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I51" authorId="0" shapeId="0" xr:uid="{F9DEDC09-3CA0-4D85-AD76-253CA1020015}">
      <text>
        <r>
          <rPr>
            <b/>
            <sz val="9"/>
            <color indexed="81"/>
            <rFont val="Segoe UI"/>
            <family val="2"/>
          </rPr>
          <t>Valor Realizado</t>
        </r>
      </text>
    </comment>
    <comment ref="J51" authorId="0" shapeId="0" xr:uid="{4FDA21FD-67CB-49F9-8A88-B13AED724BEE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K51" authorId="0" shapeId="0" xr:uid="{031383FE-D237-4FA0-84B9-5B9B0D864409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L51" authorId="0" shapeId="0" xr:uid="{F536A1CF-3DFA-4355-8A7F-82856EAB16AE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M51" authorId="0" shapeId="0" xr:uid="{EB4100C5-3396-4726-B234-85DECB046056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I98" authorId="0" shapeId="0" xr:uid="{37D92637-CEDA-4361-BF76-2AAB97E6D1C4}">
      <text>
        <r>
          <rPr>
            <b/>
            <sz val="9"/>
            <color indexed="81"/>
            <rFont val="Segoe UI"/>
            <family val="2"/>
          </rPr>
          <t>Valor Realizado</t>
        </r>
      </text>
    </comment>
    <comment ref="J98" authorId="0" shapeId="0" xr:uid="{3D96D68F-EDA3-4DC3-B56E-9D9724936627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K98" authorId="0" shapeId="0" xr:uid="{DA2783AA-BA26-4AB3-BBBF-6186A14FA8F7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L98" authorId="0" shapeId="0" xr:uid="{CCD4C564-1C9B-4164-9F7F-8FC67480BAF8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M98" authorId="0" shapeId="0" xr:uid="{95C0D83D-93AC-427B-BFCE-609E1128D5C7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I145" authorId="0" shapeId="0" xr:uid="{815D65A8-65C7-423B-8A74-ADDF3896B29C}">
      <text>
        <r>
          <rPr>
            <b/>
            <sz val="9"/>
            <color indexed="81"/>
            <rFont val="Segoe UI"/>
            <family val="2"/>
          </rPr>
          <t>Valor Realizado</t>
        </r>
      </text>
    </comment>
    <comment ref="J145" authorId="0" shapeId="0" xr:uid="{7565BC44-4C4D-4135-AEAA-AD76498F775E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K145" authorId="0" shapeId="0" xr:uid="{A24284CB-3AD5-4699-BE9F-BF7335812BD3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L145" authorId="0" shapeId="0" xr:uid="{51708930-5B57-41FB-8213-C9DC2FF0CEB6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M145" authorId="0" shapeId="0" xr:uid="{F9BAF13B-E921-46C4-8FDF-E726281BCA89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I192" authorId="0" shapeId="0" xr:uid="{042E6AA3-E32E-4B72-894E-517F5FF9DB9A}">
      <text>
        <r>
          <rPr>
            <b/>
            <sz val="9"/>
            <color indexed="81"/>
            <rFont val="Segoe UI"/>
            <family val="2"/>
          </rPr>
          <t>Valor Realizado</t>
        </r>
      </text>
    </comment>
    <comment ref="J192" authorId="0" shapeId="0" xr:uid="{B4EF5ACE-A6BA-43F1-8910-58BC38FA6518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K192" authorId="0" shapeId="0" xr:uid="{E77DA49E-1E1B-4727-A302-D1B2D923FBE7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L192" authorId="0" shapeId="0" xr:uid="{C4831BC0-D668-461D-9C96-6EB3FB9EC480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M192" authorId="0" shapeId="0" xr:uid="{88EC28E3-2AAB-40CB-9868-9CC173F3BE40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I239" authorId="0" shapeId="0" xr:uid="{CD6E1E33-C5AC-4C9A-91A5-D350B880DD60}">
      <text>
        <r>
          <rPr>
            <b/>
            <sz val="9"/>
            <color indexed="81"/>
            <rFont val="Segoe UI"/>
            <family val="2"/>
          </rPr>
          <t>Valor Realizado</t>
        </r>
      </text>
    </comment>
    <comment ref="J239" authorId="0" shapeId="0" xr:uid="{46EB3576-BEC3-4211-9C11-BFF93EFADC47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K239" authorId="0" shapeId="0" xr:uid="{F9F87861-FF02-4F46-A480-221F0B7603B7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L239" authorId="0" shapeId="0" xr:uid="{9A32F7F5-10BC-4957-AB2C-E8907886196F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M239" authorId="0" shapeId="0" xr:uid="{C22D9132-4A73-4E9A-A0F9-03FD489585DE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I286" authorId="0" shapeId="0" xr:uid="{E10D13E9-06E2-48E1-9F02-39CD8D14F3C1}">
      <text>
        <r>
          <rPr>
            <b/>
            <sz val="9"/>
            <color indexed="81"/>
            <rFont val="Segoe UI"/>
            <family val="2"/>
          </rPr>
          <t>Valor Realizado</t>
        </r>
      </text>
    </comment>
    <comment ref="J286" authorId="0" shapeId="0" xr:uid="{03DA0BAA-C790-4CD7-A48B-5F2F93C1280A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K286" authorId="0" shapeId="0" xr:uid="{DD52BDCE-34DD-47A9-8D62-1E1A0538B01E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L286" authorId="0" shapeId="0" xr:uid="{2D84ACDF-423F-4C1B-B471-2EB407C5E1F7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M286" authorId="0" shapeId="0" xr:uid="{5A1BF56D-81C0-4CD6-A073-7ED773E305D8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I333" authorId="0" shapeId="0" xr:uid="{1FE13468-9048-4041-87BE-5DEBEE997219}">
      <text>
        <r>
          <rPr>
            <b/>
            <sz val="9"/>
            <color indexed="81"/>
            <rFont val="Segoe UI"/>
            <family val="2"/>
          </rPr>
          <t>Valor Realizado</t>
        </r>
      </text>
    </comment>
    <comment ref="J333" authorId="0" shapeId="0" xr:uid="{7EBC0AB6-F912-4A20-ADDF-85587EB0F17B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K333" authorId="0" shapeId="0" xr:uid="{4392DE67-F88F-4B1D-B882-537800FCD3D0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L333" authorId="0" shapeId="0" xr:uid="{81E2AA92-1737-4368-B56D-516BC6D72EBD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M333" authorId="0" shapeId="0" xr:uid="{577D446C-85B2-4796-AEBC-539009ECD508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I380" authorId="0" shapeId="0" xr:uid="{5017C217-EFE6-4EAE-9A44-1ECB75E2167E}">
      <text>
        <r>
          <rPr>
            <b/>
            <sz val="9"/>
            <color indexed="81"/>
            <rFont val="Segoe UI"/>
            <family val="2"/>
          </rPr>
          <t>Valor Realizado</t>
        </r>
      </text>
    </comment>
    <comment ref="J380" authorId="0" shapeId="0" xr:uid="{A249527B-321E-48AA-AEDB-ABD0B912233A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K380" authorId="0" shapeId="0" xr:uid="{580CD833-B64A-4356-96BF-3E8D700FC2BC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L380" authorId="0" shapeId="0" xr:uid="{3EEC28E4-AD9F-4CE2-BC18-31A4CA247B76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M380" authorId="0" shapeId="0" xr:uid="{E0D557EF-C7AF-4BEA-B38B-7DED874D7716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I427" authorId="0" shapeId="0" xr:uid="{DE25AE33-EEAA-4868-9283-D7E5404693B7}">
      <text>
        <r>
          <rPr>
            <b/>
            <sz val="9"/>
            <color indexed="81"/>
            <rFont val="Segoe UI"/>
            <family val="2"/>
          </rPr>
          <t>Valor Realizado</t>
        </r>
      </text>
    </comment>
    <comment ref="J427" authorId="0" shapeId="0" xr:uid="{9EC9BAEA-309C-4375-BD70-4BECE619D803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K427" authorId="0" shapeId="0" xr:uid="{FDAF065D-0E8E-4B48-9D8A-38D6333972F1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L427" authorId="0" shapeId="0" xr:uid="{7E03C7EA-805B-4970-857B-A07091FBA9B9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M427" authorId="0" shapeId="0" xr:uid="{1B346CCA-D5C0-4E97-8871-AB592D6771E5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I474" authorId="0" shapeId="0" xr:uid="{9293EB40-6F49-4E73-AC33-35C66C656E79}">
      <text>
        <r>
          <rPr>
            <b/>
            <sz val="9"/>
            <color indexed="81"/>
            <rFont val="Segoe UI"/>
            <family val="2"/>
          </rPr>
          <t>Valor Realizado</t>
        </r>
      </text>
    </comment>
    <comment ref="J474" authorId="0" shapeId="0" xr:uid="{7DCCFD08-231E-4F85-B491-21391F42EA1E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K474" authorId="0" shapeId="0" xr:uid="{99ABD73E-F49B-4F87-B3D2-138EB3CF86CB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L474" authorId="0" shapeId="0" xr:uid="{7A50EA3B-6A57-4436-B388-BD47F97D75DD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M474" authorId="0" shapeId="0" xr:uid="{F830ED70-D3D4-4330-AC7C-1B163CAC22A4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I521" authorId="0" shapeId="0" xr:uid="{052B04B1-B49E-4314-8623-E8275E32EC38}">
      <text>
        <r>
          <rPr>
            <b/>
            <sz val="9"/>
            <color indexed="81"/>
            <rFont val="Segoe UI"/>
            <family val="2"/>
          </rPr>
          <t>Valor Realizado</t>
        </r>
      </text>
    </comment>
    <comment ref="J521" authorId="0" shapeId="0" xr:uid="{BE84E006-2E91-47BB-AEE2-90C018A58673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K521" authorId="0" shapeId="0" xr:uid="{12570260-AD12-43E3-B744-3F12F1BB4D5A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L521" authorId="0" shapeId="0" xr:uid="{CB7EBDF9-AADC-4789-90B5-1E175F26D759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M521" authorId="0" shapeId="0" xr:uid="{18826EB8-D6A8-4C5C-9CF7-C6B60D0406B6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I569" authorId="0" shapeId="0" xr:uid="{861CDED6-BEC5-4A64-92E7-97596A84EB0A}">
      <text>
        <r>
          <rPr>
            <b/>
            <sz val="9"/>
            <color indexed="81"/>
            <rFont val="Segoe UI"/>
            <family val="2"/>
          </rPr>
          <t>Valor Realizado</t>
        </r>
      </text>
    </comment>
    <comment ref="J569" authorId="0" shapeId="0" xr:uid="{C26B0A35-521D-4BFF-B1D4-A47D65768F8E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K569" authorId="0" shapeId="0" xr:uid="{007E9E67-A71F-4D5E-B117-82C7482A1404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L569" authorId="0" shapeId="0" xr:uid="{AAAAB97D-1CBF-446C-B848-CBFB9E830C56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  <comment ref="M569" authorId="0" shapeId="0" xr:uid="{D1924286-5667-4487-A40E-FAFA4610681F}">
      <text>
        <r>
          <rPr>
            <b/>
            <sz val="9"/>
            <color indexed="81"/>
            <rFont val="Segoe UI"/>
            <family val="2"/>
          </rPr>
          <t>Valor Esperado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<sst xmlns="http://schemas.openxmlformats.org/spreadsheetml/2006/main" count="898" uniqueCount="133">
  <si>
    <t>Ano</t>
  </si>
  <si>
    <t>Dia Útil</t>
  </si>
  <si>
    <t>BANC</t>
  </si>
  <si>
    <t>LMAG</t>
  </si>
  <si>
    <t>DRWH</t>
  </si>
  <si>
    <t>SAUD</t>
  </si>
  <si>
    <t>SMAQ</t>
  </si>
  <si>
    <t>PETN</t>
  </si>
  <si>
    <t>Renda Fixa - CP</t>
  </si>
  <si>
    <t>Renda Fixa - LP</t>
  </si>
  <si>
    <t>Índice Bolsa EW (pontos)</t>
  </si>
  <si>
    <t>Valor do Contrato Futuro em $ (Posição Comprada)</t>
  </si>
  <si>
    <t>Valor do Contrato Futuro em $ (Posição Vendida)</t>
  </si>
  <si>
    <t>Desemprego</t>
  </si>
  <si>
    <t>Taxa de Juros Real</t>
  </si>
  <si>
    <t>Risco Pai­s (taxa real)</t>
  </si>
  <si>
    <t>Cresc PIB Real</t>
  </si>
  <si>
    <t>Inflacao</t>
  </si>
  <si>
    <t>Premio de Risco</t>
  </si>
  <si>
    <t>Dolar Futuro (Comprado)</t>
  </si>
  <si>
    <t>Dolar Futuro (Vendido)</t>
  </si>
  <si>
    <t>Cresc PIB Real (IN)</t>
  </si>
  <si>
    <t>Inflacao (IN)</t>
  </si>
  <si>
    <t>Taxa de Juros Real (IN)</t>
  </si>
  <si>
    <t>(d) Cresc PIB Real</t>
  </si>
  <si>
    <t>(d) Desemprego</t>
  </si>
  <si>
    <t>(d) Inflacao</t>
  </si>
  <si>
    <t>(d) Taxa de Juros Real</t>
  </si>
  <si>
    <t>(d) Risco Pai­s (taxa real)</t>
  </si>
  <si>
    <t>(d) Cresc PIB Real (IN)</t>
  </si>
  <si>
    <t>(d) Inflacao (IN)</t>
  </si>
  <si>
    <t>(d) Taxa de Juros Real (IN)</t>
  </si>
  <si>
    <t>(d) Premio de Risco</t>
  </si>
  <si>
    <t>Fatores Usados</t>
  </si>
  <si>
    <t>Var_signif</t>
  </si>
  <si>
    <t>R2 Ajustado</t>
  </si>
  <si>
    <t>SQR</t>
  </si>
  <si>
    <t>BIC</t>
  </si>
  <si>
    <t>pv(F)</t>
  </si>
  <si>
    <t>const</t>
  </si>
  <si>
    <t>.</t>
  </si>
  <si>
    <t>Projeção</t>
  </si>
  <si>
    <t>E</t>
  </si>
  <si>
    <t>R</t>
  </si>
  <si>
    <t>MM</t>
  </si>
  <si>
    <t>Inflação</t>
  </si>
  <si>
    <t>Risco Pais (taxa real)</t>
  </si>
  <si>
    <t>Inflação (IN)</t>
  </si>
  <si>
    <t>(d) Inflação</t>
  </si>
  <si>
    <t>(d) Risco Pais (taxa real)</t>
  </si>
  <si>
    <t>(d) Inflação (IN)</t>
  </si>
  <si>
    <t>(lag) Cresc PIB Real</t>
  </si>
  <si>
    <t>(lag) Desemprego</t>
  </si>
  <si>
    <t>(lag) Inflacao</t>
  </si>
  <si>
    <t>(lag) Taxa de Juros Real</t>
  </si>
  <si>
    <t>(lag) Risco Pai­s (taxa real)</t>
  </si>
  <si>
    <t>(lag) Cresc PIB Real (IN)</t>
  </si>
  <si>
    <t>(lag) Inflacao (IN)</t>
  </si>
  <si>
    <t>(lag) Taxa de Juros Real (IN)</t>
  </si>
  <si>
    <t>(lag) Premio de Risco</t>
  </si>
  <si>
    <t>(lag) (d) Cresc PIB Real</t>
  </si>
  <si>
    <t>(lag) (d) Desemprego</t>
  </si>
  <si>
    <t>(lag) (d) Inflacao</t>
  </si>
  <si>
    <t>(lag) (d) Taxa de Juros Real</t>
  </si>
  <si>
    <t>(lag) (d) Risco Pai­s (taxa real)</t>
  </si>
  <si>
    <t>(lag) (d) Cresc PIB Real (IN)</t>
  </si>
  <si>
    <t>(lag) (d) Inflacao (IN)</t>
  </si>
  <si>
    <t>(lag) (d) Taxa de Juros Real (IN)</t>
  </si>
  <si>
    <t>(lag) (d) Premio de Risco</t>
  </si>
  <si>
    <t>(lag) Inflação</t>
  </si>
  <si>
    <t>(lag) Risco Pais (taxa real)</t>
  </si>
  <si>
    <t>(lag) Inflação (IN)</t>
  </si>
  <si>
    <t>(lag) (d) Inflação</t>
  </si>
  <si>
    <t>(lag) (d) Risco Pais (taxa real)</t>
  </si>
  <si>
    <t>(lag) (d) Inflação (IN)</t>
  </si>
  <si>
    <t>RENDA FIXA - CP</t>
  </si>
  <si>
    <t>RENDA FIXA - LP</t>
  </si>
  <si>
    <t>INDICE BOLSA EW</t>
  </si>
  <si>
    <t>DOLAR FUTURO (COMPRADO)</t>
  </si>
  <si>
    <t>DOLAR FUTURO (VENDIDO)</t>
  </si>
  <si>
    <t>ETF Ouro</t>
  </si>
  <si>
    <t>ETF OURO</t>
  </si>
  <si>
    <t>Dólar</t>
  </si>
  <si>
    <t>OURO10</t>
  </si>
  <si>
    <t>Ativos</t>
  </si>
  <si>
    <t>(d) Premio de Risco, (lag) Risco Pais (taxa real), (lag) (d) Premio de Risco</t>
  </si>
  <si>
    <t>Coluna1</t>
  </si>
  <si>
    <t>Cresc PIB Real, (lag) Risco Pais (taxa real), (lag) (d) Desemprego</t>
  </si>
  <si>
    <t>Cresc PIB Real (IN), (d) Cresc PIB Real (IN), (lag) (d) Inflação</t>
  </si>
  <si>
    <t>Inflação, (d) Taxa de Juros Real (IN), (lag) (d) Premio de Risco</t>
  </si>
  <si>
    <t>Cresc PIB Real (IN), (lag) Inflação, (lag) (d) Premio de Risco</t>
  </si>
  <si>
    <t>(d) Inflação (IN), (d) Premio de Risco, (lag) Taxa de Juros Real (IN)</t>
  </si>
  <si>
    <t>(d) Premio de Risco, (lag) Taxa de Juros Real (IN), (lag) (d) Cresc PIB Real</t>
  </si>
  <si>
    <t>(d) Premio de Risco, (lag) Cresc PIB Real, (lag) Taxa de Juros Real (IN)</t>
  </si>
  <si>
    <t>(d) Premio de Risco, (lag) Taxa de Juros Real (IN), (lag) (d) Desemprego</t>
  </si>
  <si>
    <t>(d) Premio de Risco, (lag) Premio de Risco, (lag) (d) Desemprego</t>
  </si>
  <si>
    <t>(d) Premio de Risco, (lag) Desemprego, (lag) Inflação (IN)</t>
  </si>
  <si>
    <t>(d) Inflação (IN), (d) Premio de Risco, (lag) Desemprego</t>
  </si>
  <si>
    <t>Premio de Risco, (lag) (d) Desemprego, (lag) (d) Premio de Risco</t>
  </si>
  <si>
    <t>(d) Cresc PIB Real (IN), (d) Taxa de Juros Real (IN), (d) Premio de Risco</t>
  </si>
  <si>
    <t>Desemprego, (d) Premio de Risco, (lag) (d) Risco Pais (taxa real)</t>
  </si>
  <si>
    <t>Cresc PIB Real (IN), (d) Cresc PIB Real (IN), (d) Taxa de Juros Real (IN)</t>
  </si>
  <si>
    <t>(d) Cresc PIB Real (IN), (d) Taxa de Juros Real (IN), (lag) Cresc PIB Real (IN)</t>
  </si>
  <si>
    <t>Inflação, Premio de Risco, (d) Premio de Risco</t>
  </si>
  <si>
    <t>Inflação, Cresc PIB Real (IN), (lag) (d) Inflação (IN)</t>
  </si>
  <si>
    <t>Desemprego, (d) Inflação, (d) Cresc PIB Real (IN)</t>
  </si>
  <si>
    <t>Premio de Risco, (d) Desemprego, (lag) Cresc PIB Real (IN)</t>
  </si>
  <si>
    <t>(d) Cresc PIB Real, (d) Premio de Risco, (lag) Cresc PIB Real (IN)</t>
  </si>
  <si>
    <t>(d) Premio de Risco, (lag) (d) Risco Pais (taxa real), (lag) (d) Premio de Risco</t>
  </si>
  <si>
    <t>Desemprego, Premio de Risco, (lag) (d) Inflação</t>
  </si>
  <si>
    <t>Cresc PIB Real (IN), (d) Inflação, (lag) Inflação (IN)</t>
  </si>
  <si>
    <t>Cresc PIB Real (IN), Premio de Risco, (d) Cresc PIB Real</t>
  </si>
  <si>
    <t>Taxa de Juros Real (IN), Premio de Risco, (lag) (d) Cresc PIB Real (IN)</t>
  </si>
  <si>
    <t>Inflação (IN), (d) Cresc PIB Real (IN), (lag) Desemprego</t>
  </si>
  <si>
    <t>Inflação, Inflação (IN), Taxa de Juros Real (IN)</t>
  </si>
  <si>
    <t>Inflação (IN), (d) Premio de Risco, (lag) (d) Premio de Risco</t>
  </si>
  <si>
    <t>Inflação (IN), (d) Taxa de Juros Real (IN), (lag) Desemprego</t>
  </si>
  <si>
    <t>Cresc PIB Real, Premio de Risco</t>
  </si>
  <si>
    <t>Desemprego, Premio de Risco</t>
  </si>
  <si>
    <t>Inflação, Premio de Risco</t>
  </si>
  <si>
    <t>Inflação (IN), (lag) Cresc PIB Real, (lag) (d) Taxa de Juros Real (IN)</t>
  </si>
  <si>
    <t>Inflação (IN), (lag) Desemprego, (lag) Inflação</t>
  </si>
  <si>
    <t>Inflação (IN), (lag) Desemprego, (lag) Cresc PIB Real (IN)</t>
  </si>
  <si>
    <t>Inflação (IN), (lag) Premio de Risco, (lag) (d) Cresc PIB Real</t>
  </si>
  <si>
    <t>Risco Pais (taxa real), Premio de Risco, (lag) Cresc PIB Real</t>
  </si>
  <si>
    <t>Cresc PIB Real (IN), (lag) Inflação, (lag) (d) Risco Pais (taxa real)</t>
  </si>
  <si>
    <t>(d) Cresc PIB Real (IN), (lag) Risco Pais (taxa real), (lag) (d) Risco Pais (taxa real)</t>
  </si>
  <si>
    <t>Cresc PIB Real (IN), (lag) Taxa de Juros Real (IN), (lag) (d) Risco Pais (taxa real)</t>
  </si>
  <si>
    <t>Cresc PIB Real, Inflação (IN), (d) Desemprego</t>
  </si>
  <si>
    <t>(d) Cresc PIB Real, (d) Premio de Risco, (lag) Risco Pais (taxa real)</t>
  </si>
  <si>
    <t>(d) Premio de Risco, (lag) Desemprego, (lag) (d) Inflação (IN)</t>
  </si>
  <si>
    <t>(d) Inflação (IN), (d) Premio de Risco, (lag) (d) Inflação</t>
  </si>
  <si>
    <t>(d) Premio de Risco, (lag) (d) Cresc PIB Real, (lag) (d) Inflação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</si>
</sst>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2"/>
      <name val="Arial"/>
      <family val="2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2F5496"/>
        <bgColor rgb="FF2F5496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</cellStyleXfs>
  <cellXfs count="55">
    <xf numFmtId="0" fontId="0" fillId="0" borderId="0" xfId="0"/>
    <xf numFmtId="0" fontId="4" fillId="0" borderId="0" xfId="0" applyFont="1"/>
    <xf numFmtId="0" fontId="2" fillId="3" borderId="1" xfId="0" applyFont="1" applyFill="1" applyBorder="1" applyAlignment="1">
      <alignment horizontal="center" vertical="center" wrapText="1"/>
    </xf>
    <xf numFmtId="10" fontId="0" fillId="0" borderId="0" xfId="0" applyNumberFormat="1"/>
    <xf numFmtId="0" fontId="6" fillId="0" borderId="3" xfId="0" applyFont="1" applyBorder="1" applyAlignment="1">
      <alignment horizontal="center" vertical="top"/>
    </xf>
    <xf numFmtId="0" fontId="0" fillId="0" borderId="0" xfId="0" applyFont="1" applyFill="1"/>
    <xf numFmtId="0" fontId="6" fillId="0" borderId="12" xfId="0" applyFont="1" applyBorder="1"/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8" fillId="0" borderId="3" xfId="0" applyFont="1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4" fillId="0" borderId="0" xfId="2" applyFont="1"/>
    <xf numFmtId="10" fontId="8" fillId="0" borderId="11" xfId="1" applyNumberFormat="1" applyFont="1" applyBorder="1"/>
    <xf numFmtId="10" fontId="0" fillId="0" borderId="0" xfId="1" applyNumberFormat="1" applyFont="1" applyFill="1" applyBorder="1"/>
    <xf numFmtId="9" fontId="0" fillId="0" borderId="0" xfId="0" applyNumberFormat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9" fillId="4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2" fontId="11" fillId="0" borderId="0" xfId="0" applyNumberFormat="1" applyFont="1" applyAlignment="1">
      <alignment horizontal="right"/>
    </xf>
    <xf numFmtId="0" fontId="13" fillId="0" borderId="16" xfId="0" applyFont="1" applyFill="1" applyBorder="1" applyAlignment="1">
      <alignment horizontal="center" wrapText="1"/>
    </xf>
    <xf numFmtId="0" fontId="13" fillId="0" borderId="16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9" fontId="0" fillId="0" borderId="0" xfId="1" applyNumberFormat="1" applyFont="1" applyFill="1" applyBorder="1" applyAlignment="1">
      <alignment horizontal="center"/>
    </xf>
    <xf numFmtId="9" fontId="0" fillId="0" borderId="2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0" fontId="5" fillId="0" borderId="0" xfId="1" applyNumberFormat="1" applyFont="1"/>
    <xf numFmtId="10" fontId="12" fillId="0" borderId="0" xfId="1" applyNumberFormat="1" applyFont="1"/>
    <xf numFmtId="2" fontId="1" fillId="0" borderId="0" xfId="0" applyNumberFormat="1" applyFont="1"/>
    <xf numFmtId="2" fontId="3" fillId="0" borderId="0" xfId="0" applyNumberFormat="1" applyFont="1"/>
    <xf numFmtId="0" fontId="3" fillId="0" borderId="0" xfId="0" applyFont="1"/>
    <xf numFmtId="2" fontId="11" fillId="0" borderId="0" xfId="0" applyNumberFormat="1" applyFont="1"/>
    <xf numFmtId="0" fontId="0" fillId="0" borderId="0" xfId="0" applyFill="1" applyBorder="1" applyAlignment="1"/>
    <xf numFmtId="0" fontId="13" fillId="0" borderId="7" xfId="0" applyFont="1" applyFill="1" applyBorder="1" applyAlignment="1">
      <alignment horizontal="center"/>
    </xf>
    <xf numFmtId="9" fontId="0" fillId="0" borderId="0" xfId="1" applyNumberFormat="1" applyFont="1" applyAlignment="1">
      <alignment horizontal="center"/>
    </xf>
    <xf numFmtId="0" fontId="0" fillId="6" borderId="0" xfId="0" applyFill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0" fontId="0" fillId="0" borderId="0" xfId="1" applyNumberFormat="1" applyFont="1" applyFill="1" applyBorder="1" applyAlignment="1">
      <alignment horizontal="right"/>
    </xf>
    <xf numFmtId="9" fontId="0" fillId="0" borderId="0" xfId="1" applyFont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2" xr:uid="{BABB0853-E7DA-4D05-BE61-43492CDAAA66}"/>
    <cellStyle name="Porcentagem" xfId="1" builtinId="5"/>
    <cellStyle name="Porcentagem 2" xfId="3" xr:uid="{42A24BAE-A1A9-4F0B-A4B1-DA50645B5EB7}"/>
  </cellStyles>
  <dxfs count="5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5B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14002F-D52A-44AD-9E73-060A3E3D16F9}" name="Tabela1" displayName="Tabela1" ref="A1:S14" totalsRowShown="0" headerRowDxfId="53" dataDxfId="52" dataCellStyle="Porcentagem">
  <autoFilter ref="A1:S14" xr:uid="{BB14002F-D52A-44AD-9E73-060A3E3D16F9}"/>
  <sortState xmlns:xlrd2="http://schemas.microsoft.com/office/spreadsheetml/2017/richdata2" ref="A2:S14">
    <sortCondition descending="1" ref="B1:B14"/>
  </sortState>
  <tableColumns count="19">
    <tableColumn id="1" xr3:uid="{FC05967F-9095-42E4-AFBD-A33EF7BE8E03}" name="Ativos" dataDxfId="51"/>
    <tableColumn id="2" xr3:uid="{52B11159-4B24-4FA8-8CA9-82EAE2126F52}" name="Cresc PIB Real" dataDxfId="50" dataCellStyle="Porcentagem"/>
    <tableColumn id="9" xr3:uid="{335E7F2C-E20D-44B7-A16F-F607359B6B2F}" name="Taxa de Juros Real (IN)" dataDxfId="49" dataCellStyle="Porcentagem"/>
    <tableColumn id="3" xr3:uid="{22B65EE2-ABBE-4BA9-97CA-2A2E8FF815D6}" name="Desemprego" dataDxfId="48" dataCellStyle="Porcentagem"/>
    <tableColumn id="4" xr3:uid="{BE4231CA-9775-40D5-9C99-7AA1ECFC0CFB}" name="Inflação" dataDxfId="47" dataCellStyle="Porcentagem"/>
    <tableColumn id="5" xr3:uid="{4C5B7C79-2BBC-41F2-A0D9-D73F4065B775}" name="Taxa de Juros Real" dataDxfId="46" dataCellStyle="Porcentagem"/>
    <tableColumn id="6" xr3:uid="{91E4B08F-95F0-4B61-995F-8B87BB90D919}" name="Risco Pais (taxa real)" dataDxfId="45" dataCellStyle="Porcentagem"/>
    <tableColumn id="7" xr3:uid="{A3134135-A36C-490B-BC4A-B3930002B788}" name="Cresc PIB Real (IN)" dataDxfId="44" dataCellStyle="Porcentagem"/>
    <tableColumn id="8" xr3:uid="{2972ED39-230B-4D00-8B9B-FB6066BC3B98}" name="Inflação (IN)" dataDxfId="43" dataCellStyle="Porcentagem"/>
    <tableColumn id="10" xr3:uid="{528A8F11-4631-4F02-A174-9B957327788D}" name="Premio de Risco" dataDxfId="42" dataCellStyle="Porcentagem"/>
    <tableColumn id="11" xr3:uid="{B822AE5F-AE82-4B89-821B-424096EA0002}" name="(d) Cresc PIB Real" dataDxfId="41" dataCellStyle="Porcentagem"/>
    <tableColumn id="12" xr3:uid="{545308F9-AC7D-491D-9628-779A44A9672B}" name="(d) Desemprego" dataDxfId="40" dataCellStyle="Porcentagem"/>
    <tableColumn id="13" xr3:uid="{62E5E04A-F4BF-49C0-A743-0A0443B2ADAB}" name="(d) Inflação" dataDxfId="39" dataCellStyle="Porcentagem"/>
    <tableColumn id="14" xr3:uid="{E268084B-E161-4944-95B4-A9439003CF8C}" name="(d) Taxa de Juros Real" dataDxfId="38" dataCellStyle="Porcentagem"/>
    <tableColumn id="15" xr3:uid="{B0C604BE-DEF0-4D6E-A05A-B74701FECCE1}" name="(d) Risco Pais (taxa real)" dataDxfId="37" dataCellStyle="Porcentagem"/>
    <tableColumn id="16" xr3:uid="{00C92775-B584-4A60-B47D-5335D8F04183}" name="(d) Cresc PIB Real (IN)" dataDxfId="36" dataCellStyle="Porcentagem"/>
    <tableColumn id="17" xr3:uid="{09883C42-E5F1-4DE2-BF5B-F56D20101BBF}" name="(d) Inflação (IN)" dataDxfId="35" dataCellStyle="Porcentagem"/>
    <tableColumn id="18" xr3:uid="{9625849A-8454-4B9D-99DA-B9602FD5E33C}" name="(d) Taxa de Juros Real (IN)" dataDxfId="34" dataCellStyle="Porcentagem"/>
    <tableColumn id="19" xr3:uid="{613F93A3-7EAA-4E16-AB04-8B44A39B3CC3}" name="(d) Premio de Risco" dataDxfId="33" dataCellStyle="Porcentagem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DCE70CA-D819-49AC-87FD-4CD1C402A404}" name="Tabela5" displayName="Tabela5" ref="A1:N19" totalsRowShown="0" dataDxfId="32" dataCellStyle="Porcentagem">
  <autoFilter ref="A1:N19" xr:uid="{FDCE70CA-D819-49AC-87FD-4CD1C402A404}"/>
  <sortState xmlns:xlrd2="http://schemas.microsoft.com/office/spreadsheetml/2017/richdata2" ref="A2:N19">
    <sortCondition descending="1" ref="B1:B19"/>
  </sortState>
  <tableColumns count="14">
    <tableColumn id="1" xr3:uid="{A6F09D89-B1D4-443C-8905-EC3171A6DC41}" name="Coluna1"/>
    <tableColumn id="10" xr3:uid="{8825AD1A-7DFD-4AA1-9BAC-9A93CADF33E3}" name="SMAQ" dataDxfId="31" dataCellStyle="Porcentagem"/>
    <tableColumn id="2" xr3:uid="{6337AD9C-9789-4CEF-AC61-B9BA6987F592}" name="LMAG" dataDxfId="30" dataCellStyle="Porcentagem"/>
    <tableColumn id="3" xr3:uid="{58785E09-B231-4950-96F8-2D740A2D7CD5}" name="Índice Bolsa EW (pontos)" dataDxfId="29" dataCellStyle="Porcentagem"/>
    <tableColumn id="4" xr3:uid="{372BA3F5-3E5B-4B03-8163-C1B8FF7E7779}" name="SAUD" dataDxfId="28" dataCellStyle="Porcentagem"/>
    <tableColumn id="5" xr3:uid="{5BA8455C-87FD-4733-8DBF-10CA03160A99}" name="Renda Fixa - CP" dataDxfId="27" dataCellStyle="Porcentagem"/>
    <tableColumn id="6" xr3:uid="{E82596B8-5616-441E-BCDF-6A868EF2198E}" name="BANC" dataDxfId="26" dataCellStyle="Porcentagem"/>
    <tableColumn id="7" xr3:uid="{BFD722ED-74F1-4A10-863D-C204D9172969}" name="MM" dataDxfId="25" dataCellStyle="Porcentagem"/>
    <tableColumn id="8" xr3:uid="{7C9F0297-CA7E-4AAE-BB1B-1539D7DD355A}" name="Renda Fixa - LP" dataDxfId="24" dataCellStyle="Porcentagem"/>
    <tableColumn id="9" xr3:uid="{358A937D-A10A-4971-862C-008CC6DB6592}" name="DRWH" dataDxfId="23" dataCellStyle="Porcentagem"/>
    <tableColumn id="11" xr3:uid="{BBA7E0DA-70A6-4188-A162-C2577D00E30D}" name="Dolar Futuro (Vendido)" dataDxfId="22" dataCellStyle="Porcentagem"/>
    <tableColumn id="12" xr3:uid="{A7B91CAF-0F75-46AA-A89D-A0AB2037C853}" name="PETN" dataDxfId="21" dataCellStyle="Porcentagem"/>
    <tableColumn id="13" xr3:uid="{48ADA1B7-7875-463B-B98C-C1CC4DB280A3}" name="Dolar Futuro (Comprado)" dataDxfId="20" dataCellStyle="Porcentagem"/>
    <tableColumn id="14" xr3:uid="{B4AC3448-CF9F-47B4-ADD9-81A9F36F5796}" name="ETF Ouro" dataDxfId="19" dataCellStyle="Porcentagem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D9A6BD-FB11-47A5-88EB-E1AB4F8DEB9C}" name="Tabela2" displayName="Tabela2" ref="A1:O15" totalsRowShown="0" headerRowDxfId="18" dataDxfId="16" headerRowBorderDxfId="17" tableBorderDxfId="15" dataCellStyle="Porcentagem">
  <autoFilter ref="A1:O15" xr:uid="{BCD9A6BD-FB11-47A5-88EB-E1AB4F8DEB9C}"/>
  <tableColumns count="15">
    <tableColumn id="1" xr3:uid="{4350D2E8-F0BE-4BD1-A5D3-8A3EF8D792FC}" name="Coluna1" dataDxfId="14"/>
    <tableColumn id="6" xr3:uid="{B4111C1A-24B2-4743-A2AA-222E6085D856}" name="SMAQ" dataDxfId="13" dataCellStyle="Porcentagem"/>
    <tableColumn id="12" xr3:uid="{D372470A-4000-4093-BA1C-6FDB8F7E08D6}" name="Índice Bolsa EW (pontos)" dataDxfId="12" dataCellStyle="Porcentagem"/>
    <tableColumn id="2" xr3:uid="{860C5C01-B53E-4608-A2C7-ED324DC800B7}" name="BANC" dataDxfId="11" dataCellStyle="Porcentagem"/>
    <tableColumn id="3" xr3:uid="{E27DC67C-8CB8-4AC4-9709-DA9D2675B5D3}" name="LMAG" dataDxfId="10" dataCellStyle="Porcentagem"/>
    <tableColumn id="4" xr3:uid="{8FE9E5F9-2B17-4DE8-A3D4-18D6B4D70998}" name="DRWH" dataDxfId="9" dataCellStyle="Porcentagem"/>
    <tableColumn id="5" xr3:uid="{2860E1E3-E992-4A9E-B580-B92926B2D0BF}" name="SAUD" dataDxfId="8" dataCellStyle="Porcentagem"/>
    <tableColumn id="7" xr3:uid="{E62E640B-3918-41C3-8071-21B396551690}" name="PETN" dataDxfId="7" dataCellStyle="Porcentagem"/>
    <tableColumn id="8" xr3:uid="{C2B4D028-69FC-4F35-B7E7-EEEC51FC9237}" name="MM" dataDxfId="6" dataCellStyle="Porcentagem"/>
    <tableColumn id="9" xr3:uid="{C7DAA885-E521-4817-AA16-E914DF4F9699}" name="Renda Fixa - CP" dataDxfId="5" dataCellStyle="Porcentagem"/>
    <tableColumn id="10" xr3:uid="{CA566187-49A7-4F12-8D97-F0D5F10AE970}" name="Renda Fixa - LP" dataDxfId="4" dataCellStyle="Porcentagem"/>
    <tableColumn id="11" xr3:uid="{D399FAEF-CD0E-461C-9051-21FB06B67319}" name="Dólar" dataDxfId="3" dataCellStyle="Porcentagem"/>
    <tableColumn id="13" xr3:uid="{E78C97C2-CB20-420B-A588-010F21F7E98B}" name="OURO10" dataDxfId="2" dataCellStyle="Porcentagem"/>
    <tableColumn id="14" xr3:uid="{D60788E7-829F-4023-B5FE-8F5D4AD302AF}" name="Valor do Contrato Futuro em $ (Posição Comprada)" dataDxfId="1" dataCellStyle="Porcentagem"/>
    <tableColumn id="15" xr3:uid="{40AEFA5C-FE5D-4D9A-B20E-8194B624F5F0}" name="Valor do Contrato Futuro em $ (Posição Vendida)" dataDxfId="0" dataCellStyle="Porcentage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5FBD0-15CC-40A1-992B-52444982DCBA}">
  <sheetPr>
    <tabColor theme="9" tint="0.39997558519241921"/>
  </sheetPr>
  <dimension ref="B2:AY611"/>
  <sheetViews>
    <sheetView showGridLines="0" tabSelected="1" topLeftCell="A174" zoomScale="60" zoomScaleNormal="60" workbookViewId="0">
      <selection activeCell="J195" sqref="J195"/>
    </sheetView>
  </sheetViews>
  <sheetFormatPr defaultRowHeight="15" x14ac:dyDescent="0.25"/>
  <cols>
    <col min="2" max="2" width="45.5703125" bestFit="1" customWidth="1"/>
    <col min="3" max="6" width="14.28515625" customWidth="1"/>
    <col min="10" max="13" width="12.7109375" customWidth="1"/>
    <col min="25" max="25" width="25.140625" customWidth="1"/>
    <col min="26" max="27" width="9.85546875" bestFit="1" customWidth="1"/>
    <col min="28" max="28" width="11.5703125" bestFit="1" customWidth="1"/>
    <col min="29" max="29" width="13.28515625" bestFit="1" customWidth="1"/>
    <col min="30" max="30" width="12.7109375" bestFit="1" customWidth="1"/>
    <col min="31" max="31" width="9.85546875" bestFit="1" customWidth="1"/>
    <col min="32" max="32" width="12.42578125" bestFit="1" customWidth="1"/>
    <col min="33" max="33" width="10.42578125" bestFit="1" customWidth="1"/>
  </cols>
  <sheetData>
    <row r="2" spans="2:51" x14ac:dyDescent="0.25">
      <c r="C2" s="51" t="s">
        <v>2</v>
      </c>
      <c r="D2" s="52"/>
      <c r="E2" s="52"/>
      <c r="F2" s="53"/>
      <c r="J2" s="54" t="s">
        <v>41</v>
      </c>
      <c r="K2" s="54"/>
      <c r="L2" s="54"/>
      <c r="M2" s="54"/>
    </row>
    <row r="3" spans="2:51" ht="16.5" customHeight="1" x14ac:dyDescent="0.25">
      <c r="C3" s="12">
        <v>1</v>
      </c>
      <c r="D3" s="13">
        <v>2</v>
      </c>
      <c r="E3" s="13">
        <v>3</v>
      </c>
      <c r="F3" s="14">
        <v>4</v>
      </c>
      <c r="G3" s="5"/>
      <c r="H3" s="5"/>
      <c r="I3" s="5"/>
      <c r="J3" s="9">
        <v>1</v>
      </c>
      <c r="K3" s="10">
        <v>2</v>
      </c>
      <c r="L3" s="10">
        <v>3</v>
      </c>
      <c r="M3" s="11">
        <v>4</v>
      </c>
      <c r="O3" s="2" t="s">
        <v>0</v>
      </c>
      <c r="P3" s="2" t="s">
        <v>16</v>
      </c>
      <c r="Q3" s="2" t="s">
        <v>13</v>
      </c>
      <c r="R3" s="2" t="s">
        <v>45</v>
      </c>
      <c r="S3" s="2" t="s">
        <v>14</v>
      </c>
      <c r="T3" s="2" t="s">
        <v>46</v>
      </c>
      <c r="U3" s="2" t="s">
        <v>21</v>
      </c>
      <c r="V3" s="2" t="s">
        <v>47</v>
      </c>
      <c r="W3" s="2" t="s">
        <v>23</v>
      </c>
      <c r="X3" s="2" t="s">
        <v>18</v>
      </c>
      <c r="Y3" s="2" t="s">
        <v>24</v>
      </c>
      <c r="Z3" s="2" t="s">
        <v>25</v>
      </c>
      <c r="AA3" s="2" t="s">
        <v>48</v>
      </c>
      <c r="AB3" s="2" t="s">
        <v>27</v>
      </c>
      <c r="AC3" s="2" t="s">
        <v>49</v>
      </c>
      <c r="AD3" s="2" t="s">
        <v>29</v>
      </c>
      <c r="AE3" s="2" t="s">
        <v>50</v>
      </c>
      <c r="AF3" s="2" t="s">
        <v>31</v>
      </c>
      <c r="AG3" s="2" t="s">
        <v>32</v>
      </c>
      <c r="AH3" s="2" t="s">
        <v>51</v>
      </c>
      <c r="AI3" s="2" t="s">
        <v>52</v>
      </c>
      <c r="AJ3" s="2" t="s">
        <v>69</v>
      </c>
      <c r="AK3" s="2" t="s">
        <v>54</v>
      </c>
      <c r="AL3" s="2" t="s">
        <v>70</v>
      </c>
      <c r="AM3" s="2" t="s">
        <v>56</v>
      </c>
      <c r="AN3" s="2" t="s">
        <v>71</v>
      </c>
      <c r="AO3" s="2" t="s">
        <v>58</v>
      </c>
      <c r="AP3" s="2" t="s">
        <v>59</v>
      </c>
      <c r="AQ3" s="2" t="s">
        <v>60</v>
      </c>
      <c r="AR3" s="2" t="s">
        <v>61</v>
      </c>
      <c r="AS3" s="2" t="s">
        <v>72</v>
      </c>
      <c r="AT3" s="2" t="s">
        <v>63</v>
      </c>
      <c r="AU3" s="2" t="s">
        <v>73</v>
      </c>
      <c r="AV3" s="2" t="s">
        <v>65</v>
      </c>
      <c r="AW3" s="2" t="s">
        <v>74</v>
      </c>
      <c r="AX3" s="2" t="s">
        <v>67</v>
      </c>
      <c r="AY3" s="2" t="s">
        <v>68</v>
      </c>
    </row>
    <row r="4" spans="2:51" ht="15" customHeight="1" x14ac:dyDescent="0.25">
      <c r="B4" s="4" t="s">
        <v>33</v>
      </c>
      <c r="C4" s="22" t="s">
        <v>87</v>
      </c>
      <c r="D4" s="22" t="s">
        <v>88</v>
      </c>
      <c r="E4" s="22" t="s">
        <v>89</v>
      </c>
      <c r="F4" s="22" t="s">
        <v>90</v>
      </c>
      <c r="G4" t="s">
        <v>40</v>
      </c>
      <c r="H4" s="8" t="s">
        <v>0</v>
      </c>
      <c r="I4" s="15" t="s">
        <v>43</v>
      </c>
      <c r="J4" s="16" t="s">
        <v>42</v>
      </c>
      <c r="K4" s="16" t="s">
        <v>42</v>
      </c>
      <c r="L4" s="16" t="s">
        <v>42</v>
      </c>
      <c r="M4" s="17" t="s">
        <v>42</v>
      </c>
      <c r="O4" s="1">
        <v>0</v>
      </c>
      <c r="P4" s="3">
        <v>0.02</v>
      </c>
      <c r="Q4" s="3">
        <v>0.08</v>
      </c>
      <c r="R4" s="3">
        <v>0.02</v>
      </c>
      <c r="S4" s="3">
        <v>0.02</v>
      </c>
      <c r="T4" s="3">
        <v>2.7999999999999997E-2</v>
      </c>
      <c r="U4" s="3">
        <v>2.0499999999999997E-2</v>
      </c>
      <c r="V4" s="3">
        <v>0.02</v>
      </c>
      <c r="W4" s="3">
        <v>0.02</v>
      </c>
      <c r="X4" s="3">
        <v>2.6399999999999996E-2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0.02</v>
      </c>
      <c r="AI4" s="3">
        <v>0.08</v>
      </c>
      <c r="AJ4" s="3">
        <v>0.02</v>
      </c>
      <c r="AK4" s="3">
        <v>0.02</v>
      </c>
      <c r="AL4" s="3">
        <v>2.7999999999999997E-2</v>
      </c>
      <c r="AM4" s="3">
        <v>2.0499999999999997E-2</v>
      </c>
      <c r="AN4" s="3">
        <v>0.02</v>
      </c>
      <c r="AO4" s="3">
        <v>0.02</v>
      </c>
      <c r="AP4" s="3">
        <v>2.6399999999999996E-2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</row>
    <row r="5" spans="2:51" x14ac:dyDescent="0.25">
      <c r="B5" s="4" t="s">
        <v>34</v>
      </c>
      <c r="C5" s="23">
        <v>3</v>
      </c>
      <c r="D5" s="23">
        <v>3</v>
      </c>
      <c r="E5" s="23">
        <v>3</v>
      </c>
      <c r="F5" s="23">
        <v>3</v>
      </c>
      <c r="H5" s="6">
        <v>0</v>
      </c>
      <c r="I5" s="19">
        <f>retornos!B2</f>
        <v>3.4599999999999999E-2</v>
      </c>
      <c r="J5" s="20" cm="1">
        <f t="array" ref="J5">C10 + MMULT($P$4:$AY$4, IF(C11:C46="", 0, C11:C46))</f>
        <v>3.4361156302221862E-2</v>
      </c>
      <c r="K5" s="20" cm="1">
        <f t="array" ref="K5">D10 + MMULT($P$4:$AY$4, IF(D11:D46="", 0, D11:D46))</f>
        <v>3.4233650372554256E-2</v>
      </c>
      <c r="L5" s="20" cm="1">
        <f t="array" ref="L5">E10 + MMULT($P$4:$AY$4, IF(E11:E46="", 0, E11:E46))</f>
        <v>3.4950832455111228E-2</v>
      </c>
      <c r="M5" s="20" cm="1">
        <f t="array" ref="M5">F10 + MMULT($P$4:$AY$4, IF(F11:F46="", 0, F11:F46))</f>
        <v>3.4317849081982404E-2</v>
      </c>
      <c r="O5" s="1">
        <v>1</v>
      </c>
      <c r="P5" s="3">
        <v>2.0199999999999999E-2</v>
      </c>
      <c r="Q5" s="3">
        <v>8.0299999999999996E-2</v>
      </c>
      <c r="R5" s="3">
        <v>2.0299999999999999E-2</v>
      </c>
      <c r="S5" s="3">
        <v>0.02</v>
      </c>
      <c r="T5" s="3">
        <v>2.86E-2</v>
      </c>
      <c r="U5" s="3">
        <v>0.02</v>
      </c>
      <c r="V5" s="3">
        <v>2.0799999999999999E-2</v>
      </c>
      <c r="W5" s="3">
        <v>2.0199999999999999E-2</v>
      </c>
      <c r="X5" s="3">
        <v>4.179999999999999E-2</v>
      </c>
      <c r="Y5" s="3">
        <v>1.0000000000000009E-2</v>
      </c>
      <c r="Z5" s="3">
        <v>3.7499999999999201E-3</v>
      </c>
      <c r="AA5" s="3">
        <v>1.4999999999999902E-2</v>
      </c>
      <c r="AB5" s="3">
        <v>0</v>
      </c>
      <c r="AC5" s="3">
        <v>2.1428571428571574E-2</v>
      </c>
      <c r="AD5" s="3">
        <v>-2.4390243902438935E-2</v>
      </c>
      <c r="AE5" s="3">
        <v>4.0000000000000036E-2</v>
      </c>
      <c r="AF5" s="3">
        <v>1.0000000000000009E-2</v>
      </c>
      <c r="AG5" s="3">
        <v>0.58333333333333326</v>
      </c>
      <c r="AH5" s="3">
        <v>0.02</v>
      </c>
      <c r="AI5" s="3">
        <v>0.08</v>
      </c>
      <c r="AJ5" s="3">
        <v>0.02</v>
      </c>
      <c r="AK5" s="3">
        <v>0.02</v>
      </c>
      <c r="AL5" s="3">
        <v>2.7999999999999997E-2</v>
      </c>
      <c r="AM5" s="3">
        <v>2.0499999999999997E-2</v>
      </c>
      <c r="AN5" s="3">
        <v>0.02</v>
      </c>
      <c r="AO5" s="3">
        <v>0.02</v>
      </c>
      <c r="AP5" s="3">
        <v>2.6399999999999996E-2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</row>
    <row r="6" spans="2:51" ht="17.25" customHeight="1" x14ac:dyDescent="0.25">
      <c r="B6" s="4" t="s">
        <v>35</v>
      </c>
      <c r="C6" s="23">
        <v>0.999994246741156</v>
      </c>
      <c r="D6" s="23">
        <v>0.99998419697030572</v>
      </c>
      <c r="E6" s="23">
        <v>0.99997944951674211</v>
      </c>
      <c r="F6" s="23">
        <v>0.99997394588610367</v>
      </c>
      <c r="H6" s="7">
        <v>1</v>
      </c>
      <c r="I6" s="19">
        <f>retornos!B3</f>
        <v>3.5299999999999998E-2</v>
      </c>
      <c r="J6" s="20" cm="1">
        <f t="array" ref="J6">C10 + MMULT($P$5:$AY$5, IF(C11:C46="", 0, C11:C46))</f>
        <v>3.5482945513622438E-2</v>
      </c>
      <c r="K6" s="20" cm="1">
        <f t="array" ref="K6">D10 + MMULT($P$5:$AY$5, IF(D11:D46="", 0, D11:D46))</f>
        <v>3.5643836466372189E-2</v>
      </c>
      <c r="L6" s="20" cm="1">
        <f t="array" ref="L6">E10 + MMULT($P$5:$AY$5, IF(E11:E46="", 0, E11:E46))</f>
        <v>3.4854984155544499E-2</v>
      </c>
      <c r="M6" s="20" cm="1">
        <f t="array" ref="M6">F10 + MMULT($P$5:$AY$5, IF(F11:F46="", 0, F11:F46))</f>
        <v>3.5834260942925973E-2</v>
      </c>
      <c r="O6" s="1">
        <v>2</v>
      </c>
      <c r="P6" s="21">
        <v>-2.5999999999999999E-3</v>
      </c>
      <c r="Q6" s="21">
        <v>0.10630000000000001</v>
      </c>
      <c r="R6" s="21">
        <v>4.99E-2</v>
      </c>
      <c r="S6" s="21">
        <v>0.02</v>
      </c>
      <c r="T6" s="21">
        <v>4.6600000000000003E-2</v>
      </c>
      <c r="U6" s="21">
        <v>5.96E-2</v>
      </c>
      <c r="V6" s="21">
        <v>5.1000000000000004E-3</v>
      </c>
      <c r="W6" s="21">
        <v>6.0700000000000004E-2</v>
      </c>
      <c r="X6" s="3">
        <v>-3.7699999999999997E-2</v>
      </c>
      <c r="Y6" s="3">
        <v>-1.1287128712871288</v>
      </c>
      <c r="Z6" s="3">
        <v>0.32378580323785822</v>
      </c>
      <c r="AA6" s="3">
        <v>1.458128078817734</v>
      </c>
      <c r="AB6" s="3">
        <v>0</v>
      </c>
      <c r="AC6" s="3">
        <v>0.62937062937062938</v>
      </c>
      <c r="AD6" s="3">
        <v>1.98</v>
      </c>
      <c r="AE6" s="3">
        <v>-0.75480769230769229</v>
      </c>
      <c r="AF6" s="3">
        <v>2.0049504950495054</v>
      </c>
      <c r="AG6" s="3">
        <v>-1.9019138755980864</v>
      </c>
      <c r="AH6" s="3">
        <v>2.0199999999999999E-2</v>
      </c>
      <c r="AI6" s="3">
        <v>8.0299999999999996E-2</v>
      </c>
      <c r="AJ6" s="3">
        <v>2.0299999999999999E-2</v>
      </c>
      <c r="AK6" s="3">
        <v>0.02</v>
      </c>
      <c r="AL6" s="3">
        <v>2.86E-2</v>
      </c>
      <c r="AM6" s="3">
        <v>0.02</v>
      </c>
      <c r="AN6" s="3">
        <v>2.0799999999999999E-2</v>
      </c>
      <c r="AO6" s="3">
        <v>2.0199999999999999E-2</v>
      </c>
      <c r="AP6" s="3">
        <v>4.179999999999999E-2</v>
      </c>
      <c r="AQ6" s="3">
        <v>1.0000000000000009E-2</v>
      </c>
      <c r="AR6" s="3">
        <v>3.7499999999999201E-3</v>
      </c>
      <c r="AS6" s="3">
        <v>1.4999999999999902E-2</v>
      </c>
      <c r="AT6" s="3">
        <v>0</v>
      </c>
      <c r="AU6" s="3">
        <v>2.1428571428571574E-2</v>
      </c>
      <c r="AV6" s="3">
        <v>-2.4390243902438935E-2</v>
      </c>
      <c r="AW6" s="3">
        <v>4.0000000000000036E-2</v>
      </c>
      <c r="AX6" s="3">
        <v>1.0000000000000009E-2</v>
      </c>
      <c r="AY6" s="3">
        <v>0.58333333333333326</v>
      </c>
    </row>
    <row r="7" spans="2:51" x14ac:dyDescent="0.25">
      <c r="B7" s="4" t="s">
        <v>36</v>
      </c>
      <c r="C7" s="23">
        <v>9.2052805048494057E-8</v>
      </c>
      <c r="D7" s="23">
        <v>2.5285029772361221E-7</v>
      </c>
      <c r="E7" s="23">
        <v>3.2881010228215519E-7</v>
      </c>
      <c r="F7" s="23">
        <v>4.1686882724885551E-7</v>
      </c>
      <c r="H7" s="7">
        <v>2</v>
      </c>
      <c r="I7" s="19">
        <f>retornos!B4</f>
        <v>-9.06E-2</v>
      </c>
      <c r="J7" s="20" cm="1">
        <f t="array" ref="J7">C10 + MMULT($P$6:$AY$6, IF(C11:C46="", 0, C11:C46))</f>
        <v>-9.0580202280176367E-2</v>
      </c>
      <c r="K7" s="20" cm="1">
        <f t="array" ref="K7">D10 + MMULT($P$6:$AY$6, IF(D11:D46="", 0, D11:D46))</f>
        <v>-9.0591396151468995E-2</v>
      </c>
      <c r="L7" s="20" cm="1">
        <f t="array" ref="L7">E10 + MMULT($P$6:$AY$6, IF(E11:E46="", 0, E11:E46))</f>
        <v>-9.0573950448563756E-2</v>
      </c>
      <c r="M7" s="20" cm="1">
        <f t="array" ref="M7">F10 + MMULT($P$6:$AY$6, IF(F11:F46="", 0, F11:F46))</f>
        <v>-9.0666954743205089E-2</v>
      </c>
      <c r="O7" s="1">
        <v>3</v>
      </c>
      <c r="P7" s="21">
        <v>3.9699999999999999E-2</v>
      </c>
      <c r="Q7" s="21">
        <v>8.8000000000000009E-2</v>
      </c>
      <c r="R7" s="21">
        <v>3.3599999999999998E-2</v>
      </c>
      <c r="S7" s="21">
        <v>0.02</v>
      </c>
      <c r="T7" s="21">
        <v>4.7400000000000005E-2</v>
      </c>
      <c r="U7" s="21">
        <v>3.9599999999999996E-2</v>
      </c>
      <c r="V7" s="21">
        <v>8.9999999999999998E-4</v>
      </c>
      <c r="W7" s="21">
        <v>4.0399999999999998E-2</v>
      </c>
      <c r="X7" s="3">
        <v>0.13550000000000001</v>
      </c>
      <c r="Y7" s="3">
        <v>-16.26923076923077</v>
      </c>
      <c r="Z7" s="3">
        <v>-0.17215428033866409</v>
      </c>
      <c r="AA7" s="3">
        <v>-0.32665330661322645</v>
      </c>
      <c r="AB7" s="3">
        <v>0</v>
      </c>
      <c r="AC7" s="3">
        <v>1.7167381974249052E-2</v>
      </c>
      <c r="AD7" s="3">
        <v>-0.33557046979865779</v>
      </c>
      <c r="AE7" s="3">
        <v>-0.82352941176470584</v>
      </c>
      <c r="AF7" s="3">
        <v>-0.33443163097199347</v>
      </c>
      <c r="AG7" s="3">
        <v>-4.5941644562334218</v>
      </c>
      <c r="AH7" s="3">
        <v>-2.5999999999999999E-3</v>
      </c>
      <c r="AI7" s="3">
        <v>0.10630000000000001</v>
      </c>
      <c r="AJ7" s="3">
        <v>4.99E-2</v>
      </c>
      <c r="AK7" s="3">
        <v>0.02</v>
      </c>
      <c r="AL7" s="3">
        <v>4.6600000000000003E-2</v>
      </c>
      <c r="AM7" s="3">
        <v>5.96E-2</v>
      </c>
      <c r="AN7" s="3">
        <v>5.1000000000000004E-3</v>
      </c>
      <c r="AO7" s="3">
        <v>6.0700000000000004E-2</v>
      </c>
      <c r="AP7" s="3">
        <v>-3.7699999999999997E-2</v>
      </c>
      <c r="AQ7" s="3">
        <v>-1.1287128712871288</v>
      </c>
      <c r="AR7" s="3">
        <v>0.32378580323785822</v>
      </c>
      <c r="AS7" s="3">
        <v>1.458128078817734</v>
      </c>
      <c r="AT7" s="3">
        <v>0</v>
      </c>
      <c r="AU7" s="3">
        <v>0.62937062937062938</v>
      </c>
      <c r="AV7" s="3">
        <v>1.98</v>
      </c>
      <c r="AW7" s="3">
        <v>-0.75480769230769229</v>
      </c>
      <c r="AX7" s="3">
        <v>2.0049504950495054</v>
      </c>
      <c r="AY7" s="3">
        <v>-1.9019138755980864</v>
      </c>
    </row>
    <row r="8" spans="2:51" x14ac:dyDescent="0.25">
      <c r="B8" s="4" t="s">
        <v>37</v>
      </c>
      <c r="C8" s="23">
        <v>-83.76167727981327</v>
      </c>
      <c r="D8" s="23">
        <v>-77.699065931699053</v>
      </c>
      <c r="E8" s="23">
        <v>-76.122969237203819</v>
      </c>
      <c r="F8" s="23">
        <v>-74.69922190551182</v>
      </c>
      <c r="H8" s="7">
        <v>3</v>
      </c>
      <c r="I8" s="19">
        <f>retornos!B5</f>
        <v>0.1444</v>
      </c>
      <c r="J8" s="20" cm="1">
        <f t="array" ref="J8">C10 + MMULT($P$7:$AY$7, IF(C11:C46="", 0, C11:C46))</f>
        <v>0.14439672289787084</v>
      </c>
      <c r="K8" s="20" cm="1">
        <f t="array" ref="K8">D10 + MMULT($P$7:$AY$7, IF(D11:D46="", 0, D11:D46))</f>
        <v>0.14440186681337613</v>
      </c>
      <c r="L8" s="20" cm="1">
        <f t="array" ref="L8">E10 + MMULT($P$7:$AY$7, IF(E11:E46="", 0, E11:E46))</f>
        <v>0.14438108991325765</v>
      </c>
      <c r="M8" s="20" cm="1">
        <f t="array" ref="M8">F10 + MMULT($P$7:$AY$7, IF(F11:F46="", 0, F11:F46))</f>
        <v>0.14443897211286347</v>
      </c>
      <c r="O8" s="1">
        <v>4</v>
      </c>
      <c r="P8" s="3">
        <v>1.5600000000000001E-2</v>
      </c>
      <c r="Q8" s="3">
        <v>9.35E-2</v>
      </c>
      <c r="R8" s="3">
        <v>2.4700000000000003E-2</v>
      </c>
      <c r="S8" s="3">
        <v>0.02</v>
      </c>
      <c r="T8" s="3">
        <v>2.58E-2</v>
      </c>
      <c r="U8" s="3">
        <v>2.4399999999999998E-2</v>
      </c>
      <c r="V8" s="3">
        <v>1.04E-2</v>
      </c>
      <c r="W8" s="3">
        <v>3.0699999999999998E-2</v>
      </c>
      <c r="X8" s="3">
        <v>9.3800000000000008E-2</v>
      </c>
      <c r="Y8" s="3">
        <v>-0.60705289672544072</v>
      </c>
      <c r="Z8" s="3">
        <v>6.25E-2</v>
      </c>
      <c r="AA8" s="3">
        <v>-0.26488095238095222</v>
      </c>
      <c r="AB8" s="3">
        <v>0</v>
      </c>
      <c r="AC8" s="3">
        <v>-0.45569620253164567</v>
      </c>
      <c r="AD8" s="3">
        <v>-0.38383838383838387</v>
      </c>
      <c r="AE8" s="3">
        <v>10.555555555555555</v>
      </c>
      <c r="AF8" s="3">
        <v>-0.24009900990099009</v>
      </c>
      <c r="AG8" s="3">
        <v>-0.30774907749077485</v>
      </c>
      <c r="AH8" s="3">
        <v>3.9699999999999999E-2</v>
      </c>
      <c r="AI8" s="3">
        <v>8.8000000000000009E-2</v>
      </c>
      <c r="AJ8" s="3">
        <v>3.3599999999999998E-2</v>
      </c>
      <c r="AK8" s="3">
        <v>0.02</v>
      </c>
      <c r="AL8" s="3">
        <v>4.7400000000000005E-2</v>
      </c>
      <c r="AM8" s="3">
        <v>3.9599999999999996E-2</v>
      </c>
      <c r="AN8" s="3">
        <v>8.9999999999999998E-4</v>
      </c>
      <c r="AO8" s="3">
        <v>4.0399999999999998E-2</v>
      </c>
      <c r="AP8" s="3">
        <v>0.13550000000000001</v>
      </c>
      <c r="AQ8" s="3">
        <v>-16.26923076923077</v>
      </c>
      <c r="AR8" s="3">
        <v>-0.17215428033866409</v>
      </c>
      <c r="AS8" s="3">
        <v>-0.32665330661322645</v>
      </c>
      <c r="AT8" s="3">
        <v>0</v>
      </c>
      <c r="AU8" s="3">
        <v>1.7167381974249052E-2</v>
      </c>
      <c r="AV8" s="3">
        <v>-0.33557046979865779</v>
      </c>
      <c r="AW8" s="3">
        <v>-0.82352941176470584</v>
      </c>
      <c r="AX8" s="3">
        <v>-0.33443163097199347</v>
      </c>
      <c r="AY8" s="3">
        <v>-4.5941644562334218</v>
      </c>
    </row>
    <row r="9" spans="2:51" x14ac:dyDescent="0.25">
      <c r="B9" s="4" t="s">
        <v>38</v>
      </c>
      <c r="C9" s="23">
        <v>3.451953320474024E-6</v>
      </c>
      <c r="D9" s="23">
        <v>9.4818028323713847E-6</v>
      </c>
      <c r="E9" s="23">
        <v>1.233026461536428E-5</v>
      </c>
      <c r="F9" s="23">
        <v>1.5632427608707681E-5</v>
      </c>
      <c r="H9" s="7">
        <v>4</v>
      </c>
      <c r="I9" s="19">
        <f>retornos!B6</f>
        <v>0.14899999999999999</v>
      </c>
      <c r="J9" s="20" cm="1">
        <f t="array" ref="J9">C10 + MMULT($P$8:$AY$8, IF(C11:C46="", 0, C11:C46))</f>
        <v>0.14900628269045932</v>
      </c>
      <c r="K9" s="20" cm="1">
        <f t="array" ref="K9">D10 + MMULT($P$8:$AY$8, IF(D11:D46="", 0, D11:D46))</f>
        <v>0.14899451667458335</v>
      </c>
      <c r="L9" s="20" cm="1">
        <f t="array" ref="L9">E10 + MMULT($P$8:$AY$8, IF(E11:E46="", 0, E11:E46))</f>
        <v>0.14900568615926718</v>
      </c>
      <c r="M9" s="20" cm="1">
        <f t="array" ref="M9">F10 + MMULT($P$8:$AY$8, IF(F11:F46="", 0, F11:F46))</f>
        <v>0.14898968752840566</v>
      </c>
      <c r="O9" s="1">
        <v>5</v>
      </c>
      <c r="P9" s="3">
        <v>3.5200000000000002E-2</v>
      </c>
      <c r="Q9" s="3">
        <v>7.7800000000000008E-2</v>
      </c>
      <c r="R9" s="3">
        <v>1.49E-2</v>
      </c>
      <c r="S9" s="3">
        <v>0.02</v>
      </c>
      <c r="T9" s="3">
        <v>1.8799999999999997E-2</v>
      </c>
      <c r="U9" s="3">
        <v>1.03E-2</v>
      </c>
      <c r="V9" s="3">
        <v>1.6899999999999998E-2</v>
      </c>
      <c r="W9" s="3">
        <v>1.0800000000000001E-2</v>
      </c>
      <c r="X9" s="3">
        <v>0.10210000000000001</v>
      </c>
      <c r="Y9" s="3">
        <v>1.2564102564102564</v>
      </c>
      <c r="Z9" s="3">
        <v>-0.16791443850267374</v>
      </c>
      <c r="AA9" s="3">
        <v>-0.39676113360323895</v>
      </c>
      <c r="AB9" s="3">
        <v>0</v>
      </c>
      <c r="AC9" s="3">
        <v>-0.27131782945736449</v>
      </c>
      <c r="AD9" s="3">
        <v>-0.57786885245901631</v>
      </c>
      <c r="AE9" s="3">
        <v>0.625</v>
      </c>
      <c r="AF9" s="3">
        <v>-0.64820846905537455</v>
      </c>
      <c r="AG9" s="3">
        <v>8.8486140724946649E-2</v>
      </c>
      <c r="AH9" s="3">
        <v>1.5600000000000001E-2</v>
      </c>
      <c r="AI9" s="3">
        <v>9.35E-2</v>
      </c>
      <c r="AJ9" s="3">
        <v>2.4700000000000003E-2</v>
      </c>
      <c r="AK9" s="3">
        <v>0.02</v>
      </c>
      <c r="AL9" s="3">
        <v>2.58E-2</v>
      </c>
      <c r="AM9" s="3">
        <v>2.4399999999999998E-2</v>
      </c>
      <c r="AN9" s="3">
        <v>1.04E-2</v>
      </c>
      <c r="AO9" s="3">
        <v>3.0699999999999998E-2</v>
      </c>
      <c r="AP9" s="3">
        <v>9.3800000000000008E-2</v>
      </c>
      <c r="AQ9" s="3">
        <v>-0.60705289672544072</v>
      </c>
      <c r="AR9" s="3">
        <v>6.25E-2</v>
      </c>
      <c r="AS9" s="3">
        <v>-0.26488095238095222</v>
      </c>
      <c r="AT9" s="3">
        <v>0</v>
      </c>
      <c r="AU9" s="3">
        <v>-0.45569620253164567</v>
      </c>
      <c r="AV9" s="3">
        <v>-0.38383838383838387</v>
      </c>
      <c r="AW9" s="3">
        <v>10.555555555555555</v>
      </c>
      <c r="AX9" s="3">
        <v>-0.24009900990099009</v>
      </c>
      <c r="AY9" s="3">
        <v>-0.30774907749077485</v>
      </c>
    </row>
    <row r="10" spans="2:51" x14ac:dyDescent="0.25">
      <c r="B10" s="4" t="s">
        <v>39</v>
      </c>
      <c r="C10" s="23">
        <v>-0.2107743417121363</v>
      </c>
      <c r="D10" s="23">
        <v>-9.735661444807979E-2</v>
      </c>
      <c r="E10" s="23">
        <v>-2.9159899285386651E-2</v>
      </c>
      <c r="F10" s="23">
        <v>1.16319773067837E-3</v>
      </c>
      <c r="H10" s="7">
        <v>5</v>
      </c>
      <c r="I10" s="19">
        <f>retornos!B7</f>
        <v>9.1999999999999998E-2</v>
      </c>
      <c r="J10" s="20" cm="1">
        <f t="array" ref="J10">C10 + MMULT($P$9:$AY$9, IF(C11:C46="", 0, C11:C46))</f>
        <v>9.2033094876002114E-2</v>
      </c>
      <c r="K10" s="20" cm="1">
        <f t="array" ref="K10">D10 + MMULT($P$9:$AY$9, IF(D11:D46="", 0, D11:D46))</f>
        <v>9.2017525824583238E-2</v>
      </c>
      <c r="L10" s="20" cm="1">
        <f t="array" ref="L10">E10 + MMULT($P$9:$AY$9, IF(E11:E46="", 0, E11:E46))</f>
        <v>9.2081357765385341E-2</v>
      </c>
      <c r="M10" s="20" cm="1">
        <f t="array" ref="M10">F10 + MMULT($P$9:$AY$9, IF(F11:F46="", 0, F11:F46))</f>
        <v>9.1786185077028168E-2</v>
      </c>
      <c r="O10" s="1">
        <v>6</v>
      </c>
      <c r="P10" s="3">
        <v>2.6699999999999998E-2</v>
      </c>
      <c r="Q10" s="3">
        <v>7.0000000000000007E-2</v>
      </c>
      <c r="R10" s="3">
        <v>2.8900000000000002E-2</v>
      </c>
      <c r="S10" s="3">
        <v>0.02</v>
      </c>
      <c r="T10" s="3">
        <v>2.8199999999999999E-2</v>
      </c>
      <c r="U10" s="3">
        <v>1.43E-2</v>
      </c>
      <c r="V10" s="3">
        <v>1.8600000000000002E-2</v>
      </c>
      <c r="W10" s="3">
        <v>1.46E-2</v>
      </c>
      <c r="X10" s="3">
        <v>-0.02</v>
      </c>
      <c r="Y10" s="3">
        <v>-0.24147727272727282</v>
      </c>
      <c r="Z10" s="3">
        <v>-0.10025706940874035</v>
      </c>
      <c r="AA10" s="3">
        <v>0.93959731543624181</v>
      </c>
      <c r="AB10" s="3">
        <v>0</v>
      </c>
      <c r="AC10" s="3">
        <v>0.50000000000000022</v>
      </c>
      <c r="AD10" s="3">
        <v>0.38834951456310685</v>
      </c>
      <c r="AE10" s="3">
        <v>0.10059171597633165</v>
      </c>
      <c r="AF10" s="3">
        <v>0.35185185185185186</v>
      </c>
      <c r="AG10" s="3">
        <v>-1.1958863858961801</v>
      </c>
      <c r="AH10" s="3">
        <v>3.5200000000000002E-2</v>
      </c>
      <c r="AI10" s="3">
        <v>7.7800000000000008E-2</v>
      </c>
      <c r="AJ10" s="3">
        <v>1.49E-2</v>
      </c>
      <c r="AK10" s="3">
        <v>0.02</v>
      </c>
      <c r="AL10" s="3">
        <v>1.8799999999999997E-2</v>
      </c>
      <c r="AM10" s="3">
        <v>1.03E-2</v>
      </c>
      <c r="AN10" s="3">
        <v>1.6899999999999998E-2</v>
      </c>
      <c r="AO10" s="3">
        <v>1.0800000000000001E-2</v>
      </c>
      <c r="AP10" s="3">
        <v>0.10210000000000001</v>
      </c>
      <c r="AQ10" s="3">
        <v>1.2564102564102564</v>
      </c>
      <c r="AR10" s="3">
        <v>-0.16791443850267374</v>
      </c>
      <c r="AS10" s="3">
        <v>-0.39676113360323895</v>
      </c>
      <c r="AT10" s="3">
        <v>0</v>
      </c>
      <c r="AU10" s="3">
        <v>-0.27131782945736449</v>
      </c>
      <c r="AV10" s="3">
        <v>-0.57786885245901631</v>
      </c>
      <c r="AW10" s="3">
        <v>0.625</v>
      </c>
      <c r="AX10" s="3">
        <v>-0.64820846905537455</v>
      </c>
      <c r="AY10" s="3">
        <v>8.8486140724946649E-2</v>
      </c>
    </row>
    <row r="11" spans="2:51" x14ac:dyDescent="0.25">
      <c r="B11" s="4" t="s">
        <v>16</v>
      </c>
      <c r="C11" s="23">
        <v>5.6089460570029432</v>
      </c>
      <c r="D11" s="23"/>
      <c r="E11" s="23"/>
      <c r="F11" s="23"/>
      <c r="H11" s="7">
        <v>6</v>
      </c>
      <c r="I11" s="19">
        <f>retornos!B8</f>
        <v>0</v>
      </c>
      <c r="J11" s="20" cm="1">
        <f t="array" ref="J11">C10 + MMULT($P$10:$AY$10, IF(C11:C46="", 0, C11:C46))</f>
        <v>7.4297376080367711E-2</v>
      </c>
      <c r="K11" s="20" cm="1">
        <f t="array" ref="K11">D10 + MMULT($P$10:$AY$10, IF(D11:D46="", 0, D11:D46))</f>
        <v>-5.8442346595595336E-2</v>
      </c>
      <c r="L11" s="20" cm="1">
        <f t="array" ref="L11">E10 + MMULT($P$10:$AY$10, IF(E11:E46="", 0, E11:E46))</f>
        <v>2.4853907644626191E-2</v>
      </c>
      <c r="M11" s="20" cm="1">
        <f t="array" ref="M11">F10 + MMULT($P$10:$AY$10, IF(F11:F46="", 0, F11:F46))</f>
        <v>2.7624898612723589E-2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</row>
    <row r="12" spans="2:51" x14ac:dyDescent="0.25">
      <c r="B12" s="4" t="s">
        <v>13</v>
      </c>
      <c r="C12" s="23"/>
      <c r="D12" s="23"/>
      <c r="E12" s="23"/>
      <c r="F12" s="23"/>
    </row>
    <row r="13" spans="2:51" x14ac:dyDescent="0.25">
      <c r="B13" s="4" t="s">
        <v>17</v>
      </c>
      <c r="C13" s="23"/>
      <c r="D13" s="23"/>
      <c r="E13" s="23">
        <v>3.205536587024894</v>
      </c>
      <c r="F13" s="23"/>
    </row>
    <row r="14" spans="2:51" x14ac:dyDescent="0.25">
      <c r="B14" s="4" t="s">
        <v>14</v>
      </c>
      <c r="C14" s="23"/>
      <c r="D14" s="23"/>
      <c r="E14" s="23"/>
      <c r="F14" s="23"/>
    </row>
    <row r="15" spans="2:51" x14ac:dyDescent="0.25">
      <c r="B15" s="4" t="s">
        <v>15</v>
      </c>
      <c r="C15" s="23"/>
      <c r="D15" s="23"/>
      <c r="E15" s="23"/>
      <c r="F15" s="23"/>
    </row>
    <row r="16" spans="2:51" x14ac:dyDescent="0.25">
      <c r="B16" s="4" t="s">
        <v>21</v>
      </c>
      <c r="C16" s="23"/>
      <c r="D16" s="23">
        <v>6.4190373083236132</v>
      </c>
      <c r="E16" s="23"/>
      <c r="F16" s="23">
        <v>-3.032823721887155</v>
      </c>
    </row>
    <row r="17" spans="2:6" x14ac:dyDescent="0.25">
      <c r="B17" s="4" t="s">
        <v>22</v>
      </c>
      <c r="C17" s="23"/>
      <c r="D17" s="23"/>
      <c r="E17" s="23"/>
      <c r="F17" s="23"/>
    </row>
    <row r="18" spans="2:6" x14ac:dyDescent="0.25">
      <c r="B18" s="4" t="s">
        <v>23</v>
      </c>
      <c r="C18" s="23"/>
      <c r="D18" s="23"/>
      <c r="E18" s="23"/>
      <c r="F18" s="23"/>
    </row>
    <row r="19" spans="2:6" x14ac:dyDescent="0.25">
      <c r="B19" s="4" t="s">
        <v>18</v>
      </c>
      <c r="C19" s="23"/>
      <c r="D19" s="23"/>
      <c r="E19" s="23"/>
      <c r="F19" s="23"/>
    </row>
    <row r="20" spans="2:6" x14ac:dyDescent="0.25">
      <c r="B20" s="4" t="s">
        <v>24</v>
      </c>
      <c r="C20" s="23"/>
      <c r="D20" s="23"/>
      <c r="E20" s="23"/>
      <c r="F20" s="23"/>
    </row>
    <row r="21" spans="2:6" x14ac:dyDescent="0.25">
      <c r="B21" s="4" t="s">
        <v>25</v>
      </c>
      <c r="C21" s="23"/>
      <c r="D21" s="23"/>
      <c r="E21" s="23"/>
      <c r="F21" s="23"/>
    </row>
    <row r="22" spans="2:6" x14ac:dyDescent="0.25">
      <c r="B22" s="4" t="s">
        <v>26</v>
      </c>
      <c r="C22" s="23"/>
      <c r="D22" s="23"/>
      <c r="E22" s="23"/>
      <c r="F22" s="23"/>
    </row>
    <row r="23" spans="2:6" x14ac:dyDescent="0.25">
      <c r="B23" s="4" t="s">
        <v>27</v>
      </c>
      <c r="C23" s="23"/>
      <c r="D23" s="23"/>
      <c r="E23" s="23"/>
      <c r="F23" s="23"/>
    </row>
    <row r="24" spans="2:6" x14ac:dyDescent="0.25">
      <c r="B24" s="4" t="s">
        <v>28</v>
      </c>
      <c r="C24" s="23"/>
      <c r="D24" s="23"/>
      <c r="E24" s="23"/>
      <c r="F24" s="23"/>
    </row>
    <row r="25" spans="2:6" x14ac:dyDescent="0.25">
      <c r="B25" s="4" t="s">
        <v>29</v>
      </c>
      <c r="C25" s="23"/>
      <c r="D25" s="23">
        <v>-0.1894078946671682</v>
      </c>
      <c r="E25" s="23"/>
      <c r="F25" s="23"/>
    </row>
    <row r="26" spans="2:6" x14ac:dyDescent="0.25">
      <c r="B26" s="4" t="s">
        <v>30</v>
      </c>
      <c r="C26" s="23"/>
      <c r="D26" s="23"/>
      <c r="E26" s="23"/>
      <c r="F26" s="23"/>
    </row>
    <row r="27" spans="2:6" x14ac:dyDescent="0.25">
      <c r="B27" s="4" t="s">
        <v>31</v>
      </c>
      <c r="C27" s="23"/>
      <c r="D27" s="23"/>
      <c r="E27" s="23">
        <v>-0.1057509275674192</v>
      </c>
      <c r="F27" s="23"/>
    </row>
    <row r="28" spans="2:6" x14ac:dyDescent="0.25">
      <c r="B28" s="4" t="s">
        <v>32</v>
      </c>
      <c r="C28" s="23"/>
      <c r="D28" s="23"/>
      <c r="E28" s="23"/>
      <c r="F28" s="23"/>
    </row>
    <row r="29" spans="2:6" x14ac:dyDescent="0.25">
      <c r="B29" s="4" t="s">
        <v>51</v>
      </c>
      <c r="C29" s="23"/>
      <c r="D29" s="23"/>
      <c r="E29" s="23"/>
      <c r="F29" s="23"/>
    </row>
    <row r="30" spans="2:6" x14ac:dyDescent="0.25">
      <c r="B30" s="4" t="s">
        <v>52</v>
      </c>
      <c r="C30" s="23"/>
      <c r="D30" s="23"/>
      <c r="E30" s="23"/>
      <c r="F30" s="23"/>
    </row>
    <row r="31" spans="2:6" x14ac:dyDescent="0.25">
      <c r="B31" s="4" t="s">
        <v>53</v>
      </c>
      <c r="C31" s="23"/>
      <c r="D31" s="23"/>
      <c r="E31" s="23"/>
      <c r="F31" s="23">
        <v>4.766376882499535</v>
      </c>
    </row>
    <row r="32" spans="2:6" x14ac:dyDescent="0.25">
      <c r="B32" s="4" t="s">
        <v>54</v>
      </c>
      <c r="C32" s="23"/>
      <c r="D32" s="23"/>
      <c r="E32" s="23"/>
      <c r="F32" s="23"/>
    </row>
    <row r="33" spans="2:6" x14ac:dyDescent="0.25">
      <c r="B33" s="4" t="s">
        <v>55</v>
      </c>
      <c r="C33" s="23">
        <v>4.7484491740821184</v>
      </c>
      <c r="D33" s="23"/>
      <c r="E33" s="23"/>
      <c r="F33" s="23"/>
    </row>
    <row r="34" spans="2:6" x14ac:dyDescent="0.25">
      <c r="B34" s="4" t="s">
        <v>56</v>
      </c>
      <c r="C34" s="23"/>
      <c r="D34" s="23"/>
      <c r="E34" s="23"/>
      <c r="F34" s="23"/>
    </row>
    <row r="35" spans="2:6" x14ac:dyDescent="0.25">
      <c r="B35" s="4" t="s">
        <v>57</v>
      </c>
      <c r="C35" s="23"/>
      <c r="D35" s="23"/>
      <c r="E35" s="23"/>
      <c r="F35" s="23"/>
    </row>
    <row r="36" spans="2:6" x14ac:dyDescent="0.25">
      <c r="B36" s="4" t="s">
        <v>58</v>
      </c>
      <c r="C36" s="23"/>
      <c r="D36" s="23"/>
      <c r="E36" s="23"/>
      <c r="F36" s="23"/>
    </row>
    <row r="37" spans="2:6" x14ac:dyDescent="0.25">
      <c r="B37" s="4" t="s">
        <v>59</v>
      </c>
      <c r="C37" s="23"/>
      <c r="D37" s="23"/>
      <c r="E37" s="23"/>
      <c r="F37" s="23"/>
    </row>
    <row r="38" spans="2:6" x14ac:dyDescent="0.25">
      <c r="B38" s="4" t="s">
        <v>60</v>
      </c>
      <c r="C38" s="23"/>
      <c r="D38" s="23"/>
      <c r="E38" s="23"/>
      <c r="F38" s="23"/>
    </row>
    <row r="39" spans="2:6" x14ac:dyDescent="0.25">
      <c r="B39" s="4" t="s">
        <v>61</v>
      </c>
      <c r="C39" s="23">
        <v>-0.27419925295494157</v>
      </c>
      <c r="D39" s="23"/>
      <c r="E39" s="23"/>
      <c r="F39" s="23"/>
    </row>
    <row r="40" spans="2:6" x14ac:dyDescent="0.25">
      <c r="B40" s="4" t="s">
        <v>62</v>
      </c>
      <c r="C40" s="23"/>
      <c r="D40" s="23">
        <v>-5.2118255898900942E-2</v>
      </c>
      <c r="E40" s="23"/>
      <c r="F40" s="23"/>
    </row>
    <row r="41" spans="2:6" x14ac:dyDescent="0.25">
      <c r="B41" s="4" t="s">
        <v>63</v>
      </c>
      <c r="C41" s="23"/>
      <c r="D41" s="23"/>
      <c r="E41" s="23"/>
      <c r="F41" s="23"/>
    </row>
    <row r="42" spans="2:6" x14ac:dyDescent="0.25">
      <c r="B42" s="4" t="s">
        <v>64</v>
      </c>
      <c r="C42" s="23"/>
      <c r="D42" s="23"/>
      <c r="E42" s="23"/>
      <c r="F42" s="23"/>
    </row>
    <row r="43" spans="2:6" x14ac:dyDescent="0.25">
      <c r="B43" s="4" t="s">
        <v>65</v>
      </c>
      <c r="C43" s="23"/>
      <c r="D43" s="23"/>
      <c r="E43" s="23"/>
      <c r="F43" s="23"/>
    </row>
    <row r="44" spans="2:6" x14ac:dyDescent="0.25">
      <c r="B44" s="4" t="s">
        <v>66</v>
      </c>
      <c r="C44" s="23"/>
      <c r="D44" s="23"/>
      <c r="E44" s="23"/>
      <c r="F44" s="23"/>
    </row>
    <row r="45" spans="2:6" x14ac:dyDescent="0.25">
      <c r="B45" s="4" t="s">
        <v>67</v>
      </c>
      <c r="C45" s="23"/>
      <c r="D45" s="23"/>
      <c r="E45" s="23"/>
      <c r="F45" s="23"/>
    </row>
    <row r="46" spans="2:6" x14ac:dyDescent="0.25">
      <c r="B46" s="4" t="s">
        <v>68</v>
      </c>
      <c r="C46" s="24"/>
      <c r="D46" s="24"/>
      <c r="E46" s="24">
        <v>-1.6019918189961908E-2</v>
      </c>
      <c r="F46" s="24">
        <v>-1.3425101767113531E-2</v>
      </c>
    </row>
    <row r="49" spans="2:13" x14ac:dyDescent="0.25">
      <c r="C49" s="51" t="s">
        <v>3</v>
      </c>
      <c r="D49" s="52"/>
      <c r="E49" s="52"/>
      <c r="F49" s="53"/>
      <c r="J49" s="54" t="s">
        <v>41</v>
      </c>
      <c r="K49" s="54"/>
      <c r="L49" s="54"/>
      <c r="M49" s="54"/>
    </row>
    <row r="50" spans="2:13" x14ac:dyDescent="0.25">
      <c r="C50" s="12">
        <v>1</v>
      </c>
      <c r="D50" s="13">
        <v>2</v>
      </c>
      <c r="E50" s="13">
        <v>3</v>
      </c>
      <c r="F50" s="14">
        <v>4</v>
      </c>
      <c r="G50" s="5"/>
      <c r="H50" s="5"/>
      <c r="I50" s="5"/>
      <c r="J50" s="9">
        <v>1</v>
      </c>
      <c r="K50" s="10">
        <v>2</v>
      </c>
      <c r="L50" s="10">
        <v>3</v>
      </c>
      <c r="M50" s="11">
        <v>4</v>
      </c>
    </row>
    <row r="51" spans="2:13" x14ac:dyDescent="0.25">
      <c r="B51" s="4" t="s">
        <v>33</v>
      </c>
      <c r="C51" s="46" t="s">
        <v>91</v>
      </c>
      <c r="D51" t="s">
        <v>92</v>
      </c>
      <c r="E51" s="46" t="s">
        <v>93</v>
      </c>
      <c r="F51" t="s">
        <v>94</v>
      </c>
      <c r="G51" t="s">
        <v>40</v>
      </c>
      <c r="H51" s="8" t="s">
        <v>0</v>
      </c>
      <c r="I51" s="15" t="s">
        <v>43</v>
      </c>
      <c r="J51" s="16" t="s">
        <v>42</v>
      </c>
      <c r="K51" s="16" t="s">
        <v>42</v>
      </c>
      <c r="L51" s="16" t="s">
        <v>42</v>
      </c>
      <c r="M51" s="17" t="s">
        <v>42</v>
      </c>
    </row>
    <row r="52" spans="2:13" x14ac:dyDescent="0.25">
      <c r="B52" s="4" t="s">
        <v>34</v>
      </c>
      <c r="C52" s="46">
        <v>3</v>
      </c>
      <c r="D52">
        <v>3</v>
      </c>
      <c r="E52" s="46">
        <v>3</v>
      </c>
      <c r="F52">
        <v>3</v>
      </c>
      <c r="H52" s="6">
        <v>0</v>
      </c>
      <c r="I52" s="19">
        <f>retornos!C2</f>
        <v>4.5199999999999997E-2</v>
      </c>
      <c r="J52" s="20" cm="1">
        <f t="array" ref="J52">C57 + MMULT($P$4:$AY$4, IF(C58:C93="", 0, C58:C93))</f>
        <v>4.575063138822999E-2</v>
      </c>
      <c r="K52" s="20" cm="1">
        <f t="array" ref="K52">D57 + MMULT($P$4:$AY$4, IF(D58:D93="", 0, D58:D93))</f>
        <v>4.6266815094898106E-2</v>
      </c>
      <c r="L52" s="20" cm="1">
        <f t="array" ref="L52">E57 + MMULT($P$4:$AY$4, IF(E58:E93="", 0, E58:E93))</f>
        <v>4.7991889249813777E-2</v>
      </c>
      <c r="M52" s="20" cm="1">
        <f t="array" ref="M52">F57 + MMULT($P$4:$AY$4, IF(F58:F93="", 0, F58:F93))</f>
        <v>4.8015977886040243E-2</v>
      </c>
    </row>
    <row r="53" spans="2:13" x14ac:dyDescent="0.25">
      <c r="B53" s="4" t="s">
        <v>35</v>
      </c>
      <c r="C53" s="46">
        <v>0.99972513892181392</v>
      </c>
      <c r="D53">
        <v>0.99962793837745834</v>
      </c>
      <c r="E53" s="46">
        <v>0.99896348995941353</v>
      </c>
      <c r="F53">
        <v>0.99831558893510364</v>
      </c>
      <c r="H53" s="7">
        <v>1</v>
      </c>
      <c r="I53" s="19">
        <f>retornos!C3</f>
        <v>9.0899999999999995E-2</v>
      </c>
      <c r="J53" s="20" cm="1">
        <f t="array" ref="J53">C57 + MMULT($P$5:$AY$5, IF(C58:C93="", 0, C58:C93))</f>
        <v>9.1987703095529144E-2</v>
      </c>
      <c r="K53" s="20" cm="1">
        <f t="array" ref="K53">D57 + MMULT($P$5:$AY$5, IF(D58:D93="", 0, D58:D93))</f>
        <v>8.905268747385478E-2</v>
      </c>
      <c r="L53" s="20" cm="1">
        <f t="array" ref="L53">E57 + MMULT($P$5:$AY$5, IF(E58:E93="", 0, E58:E93))</f>
        <v>9.1136302658087781E-2</v>
      </c>
      <c r="M53" s="20" cm="1">
        <f t="array" ref="M53">F57 + MMULT($P$5:$AY$5, IF(F58:F93="", 0, F58:F93))</f>
        <v>9.2223670014229042E-2</v>
      </c>
    </row>
    <row r="54" spans="2:13" x14ac:dyDescent="0.25">
      <c r="B54" s="4" t="s">
        <v>36</v>
      </c>
      <c r="C54" s="46">
        <v>4.1060037874098043E-6</v>
      </c>
      <c r="D54">
        <v>5.558031138447297E-6</v>
      </c>
      <c r="E54" s="46">
        <v>1.5483873454992891E-5</v>
      </c>
      <c r="F54">
        <v>2.516252303768242E-5</v>
      </c>
      <c r="H54" s="7">
        <v>2</v>
      </c>
      <c r="I54" s="19">
        <f>retornos!C4</f>
        <v>-9.11E-2</v>
      </c>
      <c r="J54" s="20" cm="1">
        <f t="array" ref="J54">C57 + MMULT($P$6:$AY$6, IF(C58:C93="", 0, C58:C93))</f>
        <v>-9.1698379930934049E-2</v>
      </c>
      <c r="K54" s="20" cm="1">
        <f t="array" ref="K54">D57 + MMULT($P$6:$AY$6, IF(D58:D93="", 0, D58:D93))</f>
        <v>-9.1024596125422255E-2</v>
      </c>
      <c r="L54" s="20" cm="1">
        <f t="array" ref="L54">E57 + MMULT($P$6:$AY$6, IF(E58:E93="", 0, E58:E93))</f>
        <v>-9.2489577115000804E-2</v>
      </c>
      <c r="M54" s="20" cm="1">
        <f t="array" ref="M54">F57 + MMULT($P$6:$AY$6, IF(F58:F93="", 0, F58:F93))</f>
        <v>-9.2824981653233316E-2</v>
      </c>
    </row>
    <row r="55" spans="2:13" x14ac:dyDescent="0.25">
      <c r="B55" s="4" t="s">
        <v>37</v>
      </c>
      <c r="C55" s="46">
        <v>-60.97461844175605</v>
      </c>
      <c r="D55">
        <v>-59.157856285225378</v>
      </c>
      <c r="E55" s="46">
        <v>-53.010525527475281</v>
      </c>
      <c r="F55">
        <v>-50.097185648655639</v>
      </c>
      <c r="H55" s="7">
        <v>3</v>
      </c>
      <c r="I55" s="19">
        <f>retornos!C5</f>
        <v>0.12230000000000001</v>
      </c>
      <c r="J55" s="20" cm="1">
        <f t="array" ref="J55">C57 + MMULT($P$7:$AY$7, IF(C58:C93="", 0, C58:C93))</f>
        <v>0.12265320762689255</v>
      </c>
      <c r="K55" s="20" cm="1">
        <f t="array" ref="K55">D57 + MMULT($P$7:$AY$7, IF(D58:D93="", 0, D58:D93))</f>
        <v>0.12205418747711447</v>
      </c>
      <c r="L55" s="20" cm="1">
        <f t="array" ref="L55">E57 + MMULT($P$7:$AY$7, IF(E58:E93="", 0, E58:E93))</f>
        <v>0.12285193505358002</v>
      </c>
      <c r="M55" s="20" cm="1">
        <f t="array" ref="M55">F57 + MMULT($P$7:$AY$7, IF(F58:F93="", 0, F58:F93))</f>
        <v>0.12310115497722099</v>
      </c>
    </row>
    <row r="56" spans="2:13" x14ac:dyDescent="0.25">
      <c r="B56" s="4" t="s">
        <v>38</v>
      </c>
      <c r="C56" s="46">
        <v>1.6491211391184951E-4</v>
      </c>
      <c r="D56">
        <v>2.2322866752784711E-4</v>
      </c>
      <c r="E56" s="46">
        <v>6.2184155871301686E-4</v>
      </c>
      <c r="F56">
        <v>1.010476385378566E-3</v>
      </c>
      <c r="H56" s="7">
        <v>4</v>
      </c>
      <c r="I56" s="19">
        <f>retornos!C6</f>
        <v>4.8399999999999999E-2</v>
      </c>
      <c r="J56" s="20" cm="1">
        <f t="array" ref="J56">C57 + MMULT($P$8:$AY$8, IF(C58:C93="", 0, C58:C93))</f>
        <v>4.8467109370587153E-2</v>
      </c>
      <c r="K56" s="20" cm="1">
        <f t="array" ref="K56">D57 + MMULT($P$8:$AY$8, IF(D58:D93="", 0, D58:D93))</f>
        <v>4.8380906583052774E-2</v>
      </c>
      <c r="L56" s="20" cm="1">
        <f t="array" ref="L56">E57 + MMULT($P$8:$AY$8, IF(E58:E93="", 0, E58:E93))</f>
        <v>4.852917959790029E-2</v>
      </c>
      <c r="M56" s="20" cm="1">
        <f t="array" ref="M56">F57 + MMULT($P$8:$AY$8, IF(F58:F93="", 0, F58:F93))</f>
        <v>4.862136864508354E-2</v>
      </c>
    </row>
    <row r="57" spans="2:13" x14ac:dyDescent="0.25">
      <c r="B57" s="4" t="s">
        <v>39</v>
      </c>
      <c r="C57" s="46">
        <v>-0.16650820626920701</v>
      </c>
      <c r="D57">
        <v>-0.16299723149467929</v>
      </c>
      <c r="E57" s="46">
        <v>2.9231351605022191E-2</v>
      </c>
      <c r="F57">
        <v>-7.0427697022334285E-2</v>
      </c>
      <c r="H57" s="7">
        <v>5</v>
      </c>
      <c r="I57" s="19">
        <f>retornos!C7</f>
        <v>0.15670000000000001</v>
      </c>
      <c r="J57" s="20" cm="1">
        <f t="array" ref="J57">C57 + MMULT($P$9:$AY$9, IF(C58:C93="", 0, C58:C93))</f>
        <v>0.15523972844969788</v>
      </c>
      <c r="K57" s="20" cm="1">
        <f t="array" ref="K57">D57 + MMULT($P$9:$AY$9, IF(D58:D93="", 0, D58:D93))</f>
        <v>0.1576699994965011</v>
      </c>
      <c r="L57" s="20" cm="1">
        <f t="array" ref="L57">E57 + MMULT($P$9:$AY$9, IF(E58:E93="", 0, E58:E93))</f>
        <v>0.15438027055561868</v>
      </c>
      <c r="M57" s="20" cm="1">
        <f t="array" ref="M57">F57 + MMULT($P$9:$AY$9, IF(F58:F93="", 0, F58:F93))</f>
        <v>0.15326281013065879</v>
      </c>
    </row>
    <row r="58" spans="2:13" x14ac:dyDescent="0.25">
      <c r="B58" s="4" t="s">
        <v>16</v>
      </c>
      <c r="C58" s="46"/>
      <c r="E58" s="46"/>
      <c r="H58" s="7">
        <v>6</v>
      </c>
      <c r="I58" s="19">
        <f>retornos!C8</f>
        <v>0</v>
      </c>
      <c r="J58" s="20" cm="1">
        <f t="array" ref="J58">C57 + MMULT($P$10:$AY$10, IF(C58:C93="", 0, C58:C93))</f>
        <v>-0.14994833706916966</v>
      </c>
      <c r="K58" s="20" cm="1">
        <f t="array" ref="K58">D57 + MMULT($P$10:$AY$10, IF(D58:D93="", 0, D58:D93))</f>
        <v>-0.1231321570671278</v>
      </c>
      <c r="L58" s="20" cm="1">
        <f t="array" ref="L58">E57 + MMULT($P$10:$AY$10, IF(E58:E93="", 0, E58:E93))</f>
        <v>-0.19420635555203167</v>
      </c>
      <c r="M58" s="20" cm="1">
        <f t="array" ref="M58">F57 + MMULT($P$10:$AY$10, IF(F58:F93="", 0, F58:F93))</f>
        <v>-0.19159632774815619</v>
      </c>
    </row>
    <row r="59" spans="2:13" x14ac:dyDescent="0.25">
      <c r="B59" s="4" t="s">
        <v>13</v>
      </c>
      <c r="C59" s="46"/>
      <c r="E59" s="46"/>
    </row>
    <row r="60" spans="2:13" x14ac:dyDescent="0.25">
      <c r="B60" s="4" t="s">
        <v>17</v>
      </c>
      <c r="C60" s="46"/>
      <c r="E60" s="46"/>
    </row>
    <row r="61" spans="2:13" x14ac:dyDescent="0.25">
      <c r="B61" s="4" t="s">
        <v>14</v>
      </c>
      <c r="C61" s="46"/>
      <c r="E61" s="46"/>
    </row>
    <row r="62" spans="2:13" x14ac:dyDescent="0.25">
      <c r="B62" s="4" t="s">
        <v>15</v>
      </c>
      <c r="C62" s="46"/>
      <c r="E62" s="46"/>
    </row>
    <row r="63" spans="2:13" x14ac:dyDescent="0.25">
      <c r="B63" s="4" t="s">
        <v>21</v>
      </c>
      <c r="C63" s="46"/>
      <c r="E63" s="46"/>
    </row>
    <row r="64" spans="2:13" x14ac:dyDescent="0.25">
      <c r="B64" s="4" t="s">
        <v>22</v>
      </c>
      <c r="C64" s="46"/>
      <c r="E64" s="46"/>
    </row>
    <row r="65" spans="2:6" x14ac:dyDescent="0.25">
      <c r="B65" s="4" t="s">
        <v>23</v>
      </c>
      <c r="C65" s="46"/>
      <c r="E65" s="46"/>
    </row>
    <row r="66" spans="2:6" x14ac:dyDescent="0.25">
      <c r="B66" s="4" t="s">
        <v>18</v>
      </c>
      <c r="C66" s="46"/>
      <c r="E66" s="46"/>
    </row>
    <row r="67" spans="2:6" x14ac:dyDescent="0.25">
      <c r="B67" s="4" t="s">
        <v>24</v>
      </c>
      <c r="C67" s="46"/>
      <c r="E67" s="46"/>
    </row>
    <row r="68" spans="2:6" x14ac:dyDescent="0.25">
      <c r="B68" s="4" t="s">
        <v>25</v>
      </c>
      <c r="C68" s="46"/>
      <c r="E68" s="46"/>
    </row>
    <row r="69" spans="2:6" x14ac:dyDescent="0.25">
      <c r="B69" s="4" t="s">
        <v>26</v>
      </c>
      <c r="C69" s="46"/>
      <c r="E69" s="46"/>
    </row>
    <row r="70" spans="2:6" x14ac:dyDescent="0.25">
      <c r="B70" s="4" t="s">
        <v>27</v>
      </c>
      <c r="C70" s="46"/>
      <c r="E70" s="46"/>
    </row>
    <row r="71" spans="2:6" x14ac:dyDescent="0.25">
      <c r="B71" s="4" t="s">
        <v>28</v>
      </c>
      <c r="C71" s="46"/>
      <c r="E71" s="46"/>
    </row>
    <row r="72" spans="2:6" x14ac:dyDescent="0.25">
      <c r="B72" s="4" t="s">
        <v>29</v>
      </c>
      <c r="C72" s="46"/>
      <c r="E72" s="46"/>
    </row>
    <row r="73" spans="2:6" x14ac:dyDescent="0.25">
      <c r="B73" s="4" t="s">
        <v>30</v>
      </c>
      <c r="C73" s="46">
        <v>-1.790681378925538E-2</v>
      </c>
      <c r="E73" s="46"/>
    </row>
    <row r="74" spans="2:6" x14ac:dyDescent="0.25">
      <c r="B74" s="4" t="s">
        <v>31</v>
      </c>
      <c r="C74" s="46"/>
      <c r="E74" s="46"/>
    </row>
    <row r="75" spans="2:6" x14ac:dyDescent="0.25">
      <c r="B75" s="4" t="s">
        <v>32</v>
      </c>
      <c r="C75" s="46">
        <v>8.0491447300918922E-2</v>
      </c>
      <c r="D75">
        <v>7.3347209792497148E-2</v>
      </c>
      <c r="E75" s="46">
        <v>7.3961851557041172E-2</v>
      </c>
      <c r="F75">
        <v>7.5784615076895101E-2</v>
      </c>
    </row>
    <row r="76" spans="2:6" x14ac:dyDescent="0.25">
      <c r="B76" s="4" t="s">
        <v>51</v>
      </c>
      <c r="C76" s="46"/>
      <c r="E76" s="46">
        <v>-5.9474764808402281</v>
      </c>
    </row>
    <row r="77" spans="2:6" x14ac:dyDescent="0.25">
      <c r="B77" s="4" t="s">
        <v>52</v>
      </c>
      <c r="C77" s="46"/>
      <c r="E77" s="46"/>
    </row>
    <row r="78" spans="2:6" x14ac:dyDescent="0.25">
      <c r="B78" s="4" t="s">
        <v>53</v>
      </c>
      <c r="C78" s="46"/>
      <c r="E78" s="46"/>
    </row>
    <row r="79" spans="2:6" x14ac:dyDescent="0.25">
      <c r="B79" s="4" t="s">
        <v>54</v>
      </c>
      <c r="C79" s="46"/>
      <c r="E79" s="46"/>
    </row>
    <row r="80" spans="2:6" x14ac:dyDescent="0.25">
      <c r="B80" s="4" t="s">
        <v>55</v>
      </c>
      <c r="C80" s="46"/>
      <c r="E80" s="46"/>
    </row>
    <row r="81" spans="2:13" x14ac:dyDescent="0.25">
      <c r="B81" s="4" t="s">
        <v>56</v>
      </c>
      <c r="C81" s="46"/>
      <c r="E81" s="46"/>
    </row>
    <row r="82" spans="2:13" x14ac:dyDescent="0.25">
      <c r="B82" s="4" t="s">
        <v>57</v>
      </c>
      <c r="C82" s="46"/>
      <c r="E82" s="46"/>
    </row>
    <row r="83" spans="2:13" x14ac:dyDescent="0.25">
      <c r="B83" s="4" t="s">
        <v>58</v>
      </c>
      <c r="C83" s="46">
        <v>10.61294188287185</v>
      </c>
      <c r="D83">
        <v>10.46320232947887</v>
      </c>
      <c r="E83" s="46">
        <v>6.8855033630798079</v>
      </c>
      <c r="F83">
        <v>5.9221837454187263</v>
      </c>
    </row>
    <row r="84" spans="2:13" x14ac:dyDescent="0.25">
      <c r="B84" s="4" t="s">
        <v>59</v>
      </c>
      <c r="C84" s="46"/>
      <c r="E84" s="46"/>
    </row>
    <row r="85" spans="2:13" x14ac:dyDescent="0.25">
      <c r="B85" s="4" t="s">
        <v>60</v>
      </c>
      <c r="C85" s="46"/>
      <c r="D85">
        <v>1.1602435453804551E-2</v>
      </c>
      <c r="E85" s="46"/>
    </row>
    <row r="86" spans="2:13" x14ac:dyDescent="0.25">
      <c r="B86" s="4" t="s">
        <v>61</v>
      </c>
      <c r="C86" s="46"/>
      <c r="E86" s="46"/>
      <c r="F86">
        <v>0.56277724886653024</v>
      </c>
    </row>
    <row r="87" spans="2:13" x14ac:dyDescent="0.25">
      <c r="B87" s="4" t="s">
        <v>62</v>
      </c>
      <c r="C87" s="46"/>
      <c r="E87" s="46"/>
    </row>
    <row r="88" spans="2:13" x14ac:dyDescent="0.25">
      <c r="B88" s="4" t="s">
        <v>63</v>
      </c>
      <c r="C88" s="46"/>
      <c r="E88" s="46"/>
    </row>
    <row r="89" spans="2:13" x14ac:dyDescent="0.25">
      <c r="B89" s="4" t="s">
        <v>64</v>
      </c>
      <c r="C89" s="46"/>
      <c r="E89" s="46"/>
    </row>
    <row r="90" spans="2:13" x14ac:dyDescent="0.25">
      <c r="B90" s="4" t="s">
        <v>65</v>
      </c>
      <c r="C90" s="46"/>
      <c r="E90" s="46"/>
    </row>
    <row r="91" spans="2:13" x14ac:dyDescent="0.25">
      <c r="B91" s="4" t="s">
        <v>66</v>
      </c>
      <c r="C91" s="46"/>
      <c r="E91" s="46"/>
    </row>
    <row r="92" spans="2:13" x14ac:dyDescent="0.25">
      <c r="B92" s="4" t="s">
        <v>67</v>
      </c>
      <c r="C92" s="46"/>
      <c r="E92" s="46"/>
    </row>
    <row r="93" spans="2:13" x14ac:dyDescent="0.25">
      <c r="B93" s="4" t="s">
        <v>68</v>
      </c>
      <c r="C93" s="46"/>
      <c r="E93" s="46"/>
    </row>
    <row r="96" spans="2:13" x14ac:dyDescent="0.25">
      <c r="C96" s="51" t="s">
        <v>4</v>
      </c>
      <c r="D96" s="52"/>
      <c r="E96" s="52"/>
      <c r="F96" s="53"/>
      <c r="J96" s="54" t="s">
        <v>41</v>
      </c>
      <c r="K96" s="54"/>
      <c r="L96" s="54"/>
      <c r="M96" s="54"/>
    </row>
    <row r="97" spans="2:13" x14ac:dyDescent="0.25">
      <c r="C97" s="12">
        <v>1</v>
      </c>
      <c r="D97" s="13">
        <v>2</v>
      </c>
      <c r="E97" s="13">
        <v>3</v>
      </c>
      <c r="F97" s="14">
        <v>4</v>
      </c>
      <c r="G97" s="5"/>
      <c r="H97" s="5"/>
      <c r="I97" s="5"/>
      <c r="J97" s="9">
        <v>1</v>
      </c>
      <c r="K97" s="10">
        <v>2</v>
      </c>
      <c r="L97" s="10">
        <v>3</v>
      </c>
      <c r="M97" s="11">
        <v>4</v>
      </c>
    </row>
    <row r="98" spans="2:13" x14ac:dyDescent="0.25">
      <c r="B98" s="4" t="s">
        <v>33</v>
      </c>
      <c r="C98" s="46" t="s">
        <v>95</v>
      </c>
      <c r="D98" t="s">
        <v>96</v>
      </c>
      <c r="E98" s="46" t="s">
        <v>97</v>
      </c>
      <c r="F98" t="s">
        <v>98</v>
      </c>
      <c r="G98" t="s">
        <v>40</v>
      </c>
      <c r="H98" s="8" t="s">
        <v>0</v>
      </c>
      <c r="I98" s="15" t="s">
        <v>43</v>
      </c>
      <c r="J98" s="16" t="s">
        <v>42</v>
      </c>
      <c r="K98" s="16" t="s">
        <v>42</v>
      </c>
      <c r="L98" s="16" t="s">
        <v>42</v>
      </c>
      <c r="M98" s="17" t="s">
        <v>42</v>
      </c>
    </row>
    <row r="99" spans="2:13" x14ac:dyDescent="0.25">
      <c r="B99" s="4" t="s">
        <v>34</v>
      </c>
      <c r="C99" s="46">
        <v>3</v>
      </c>
      <c r="D99">
        <v>3</v>
      </c>
      <c r="E99" s="46">
        <v>3</v>
      </c>
      <c r="F99">
        <v>3</v>
      </c>
      <c r="H99" s="6">
        <v>0</v>
      </c>
      <c r="I99" s="19">
        <f>retornos!D2</f>
        <v>4.7199999999999999E-2</v>
      </c>
      <c r="J99" s="20" cm="1">
        <f t="array" ref="J99">C104 + MMULT($P$4:$AY$4, IF(C105:C140="", 0, C105:C140))</f>
        <v>4.7778526427918258E-2</v>
      </c>
      <c r="K99" s="20" cm="1">
        <f t="array" ref="K99">D104 + MMULT($P$4:$AY$4, IF(D105:D140="", 0, D105:D140))</f>
        <v>4.8072315617648353E-2</v>
      </c>
      <c r="L99" s="20" cm="1">
        <f t="array" ref="L99">E104 + MMULT($P$4:$AY$4, IF(E105:E140="", 0, E105:E140))</f>
        <v>4.7358355625786386E-2</v>
      </c>
      <c r="M99" s="20" cm="1">
        <f t="array" ref="M99">F104 + MMULT($P$4:$AY$4, IF(F105:F140="", 0, F105:F140))</f>
        <v>4.7147511098466981E-2</v>
      </c>
    </row>
    <row r="100" spans="2:13" x14ac:dyDescent="0.25">
      <c r="B100" s="4" t="s">
        <v>35</v>
      </c>
      <c r="C100" s="46">
        <v>0.9999524559890951</v>
      </c>
      <c r="D100">
        <v>0.99991252833714839</v>
      </c>
      <c r="E100" s="46">
        <v>0.99898396837202741</v>
      </c>
      <c r="F100">
        <v>0.99825217189571014</v>
      </c>
      <c r="H100" s="7">
        <v>1</v>
      </c>
      <c r="I100" s="19">
        <f>retornos!D3</f>
        <v>8.3800000000000013E-2</v>
      </c>
      <c r="J100" s="20" cm="1">
        <f t="array" ref="J100">C104 + MMULT($P$5:$AY$5, IF(C105:C140="", 0, C105:C140))</f>
        <v>8.3276950326642368E-2</v>
      </c>
      <c r="K100" s="20" cm="1">
        <f t="array" ref="K100">D104 + MMULT($P$5:$AY$5, IF(D105:D140="", 0, D105:D140))</f>
        <v>8.3237162727631597E-2</v>
      </c>
      <c r="L100" s="20" cm="1">
        <f t="array" ref="L100">E104 + MMULT($P$5:$AY$5, IF(E105:E140="", 0, E105:E140))</f>
        <v>8.1221698217785021E-2</v>
      </c>
      <c r="M100" s="20" cm="1">
        <f t="array" ref="M100">F104 + MMULT($P$5:$AY$5, IF(F105:F140="", 0, F105:F140))</f>
        <v>8.0010575476129442E-2</v>
      </c>
    </row>
    <row r="101" spans="2:13" x14ac:dyDescent="0.25">
      <c r="B101" s="4" t="s">
        <v>36</v>
      </c>
      <c r="C101" s="46">
        <v>6.298009322946694E-7</v>
      </c>
      <c r="D101">
        <v>1.1587102931519729E-6</v>
      </c>
      <c r="E101" s="46">
        <v>1.345905939272114E-5</v>
      </c>
      <c r="F101">
        <v>2.3152942896908661E-5</v>
      </c>
      <c r="H101" s="7">
        <v>2</v>
      </c>
      <c r="I101" s="19">
        <f>retornos!D4</f>
        <v>-5.33E-2</v>
      </c>
      <c r="J101" s="20" cm="1">
        <f t="array" ref="J101">C104 + MMULT($P$6:$AY$6, IF(C105:C140="", 0, C105:C140))</f>
        <v>-5.3277626174799225E-2</v>
      </c>
      <c r="K101" s="20" cm="1">
        <f t="array" ref="K101">D104 + MMULT($P$6:$AY$6, IF(D105:D140="", 0, D105:D140))</f>
        <v>-5.3573097623982768E-2</v>
      </c>
      <c r="L101" s="20" cm="1">
        <f t="array" ref="L101">E104 + MMULT($P$6:$AY$6, IF(E105:E140="", 0, E105:E140))</f>
        <v>-5.1715579269253076E-2</v>
      </c>
      <c r="M101" s="20" cm="1">
        <f t="array" ref="M101">F104 + MMULT($P$6:$AY$6, IF(F105:F140="", 0, F105:F140))</f>
        <v>-5.1742808487473979E-2</v>
      </c>
    </row>
    <row r="102" spans="2:13" x14ac:dyDescent="0.25">
      <c r="B102" s="4" t="s">
        <v>37</v>
      </c>
      <c r="C102" s="46">
        <v>-72.223428827867068</v>
      </c>
      <c r="D102">
        <v>-68.565474465722957</v>
      </c>
      <c r="E102" s="46">
        <v>-53.851405247157501</v>
      </c>
      <c r="F102">
        <v>-50.596588515209177</v>
      </c>
      <c r="H102" s="7">
        <v>3</v>
      </c>
      <c r="I102" s="19">
        <f>retornos!D5</f>
        <v>1.7600000000000001E-2</v>
      </c>
      <c r="J102" s="20" cm="1">
        <f t="array" ref="J102">C104 + MMULT($P$7:$AY$7, IF(C105:C140="", 0, C105:C140))</f>
        <v>1.753237911334667E-2</v>
      </c>
      <c r="K102" s="20" cm="1">
        <f t="array" ref="K102">D104 + MMULT($P$7:$AY$7, IF(D105:D140="", 0, D105:D140))</f>
        <v>1.7640885096340764E-2</v>
      </c>
      <c r="L102" s="20" cm="1">
        <f t="array" ref="L102">E104 + MMULT($P$7:$AY$7, IF(E105:E140="", 0, E105:E140))</f>
        <v>1.6656100570333621E-2</v>
      </c>
      <c r="M102" s="20" cm="1">
        <f t="array" ref="M102">F104 + MMULT($P$7:$AY$7, IF(F105:F140="", 0, F105:F140))</f>
        <v>1.720580556597294E-2</v>
      </c>
    </row>
    <row r="103" spans="2:13" x14ac:dyDescent="0.25">
      <c r="B103" s="4" t="s">
        <v>38</v>
      </c>
      <c r="C103" s="46">
        <v>2.8526270916568121E-5</v>
      </c>
      <c r="D103">
        <v>5.2482538630779352E-5</v>
      </c>
      <c r="E103" s="46">
        <v>6.0955703337132875E-4</v>
      </c>
      <c r="F103">
        <v>1.0485135470255831E-3</v>
      </c>
      <c r="H103" s="7">
        <v>4</v>
      </c>
      <c r="I103" s="19">
        <f>retornos!D6</f>
        <v>-4.8600000000000004E-2</v>
      </c>
      <c r="J103" s="20" cm="1">
        <f t="array" ref="J103">C104 + MMULT($P$8:$AY$8, IF(C105:C140="", 0, C105:C140))</f>
        <v>-4.8695673247651922E-2</v>
      </c>
      <c r="K103" s="20" cm="1">
        <f t="array" ref="K103">D104 + MMULT($P$8:$AY$8, IF(D105:D140="", 0, D105:D140))</f>
        <v>-4.8609043598457857E-2</v>
      </c>
      <c r="L103" s="20" cm="1">
        <f t="array" ref="L103">E104 + MMULT($P$8:$AY$8, IF(E105:E140="", 0, E105:E140))</f>
        <v>-4.8659453315242907E-2</v>
      </c>
      <c r="M103" s="20" cm="1">
        <f t="array" ref="M103">F104 + MMULT($P$8:$AY$8, IF(F105:F140="", 0, F105:F140))</f>
        <v>-4.8405513121967683E-2</v>
      </c>
    </row>
    <row r="104" spans="2:13" x14ac:dyDescent="0.25">
      <c r="B104" s="4" t="s">
        <v>39</v>
      </c>
      <c r="C104" s="46">
        <v>2.848666245397093E-2</v>
      </c>
      <c r="D104">
        <v>-1.3883764623939181</v>
      </c>
      <c r="E104" s="46">
        <v>-0.64888757360849159</v>
      </c>
      <c r="F104">
        <v>-9.1891706918115334E-3</v>
      </c>
      <c r="H104" s="7">
        <v>5</v>
      </c>
      <c r="I104" s="19">
        <f>retornos!D7</f>
        <v>0.1595</v>
      </c>
      <c r="J104" s="20" cm="1">
        <f t="array" ref="J104">C104 + MMULT($P$9:$AY$9, IF(C105:C140="", 0, C105:C140))</f>
        <v>0.15958544355454399</v>
      </c>
      <c r="K104" s="20" cm="1">
        <f t="array" ref="K104">D104 + MMULT($P$9:$AY$9, IF(D105:D140="", 0, D105:D140))</f>
        <v>0.15943177778081163</v>
      </c>
      <c r="L104" s="20" cm="1">
        <f t="array" ref="L104">E104 + MMULT($P$9:$AY$9, IF(E105:E140="", 0, E105:E140))</f>
        <v>0.16133887817059511</v>
      </c>
      <c r="M104" s="20" cm="1">
        <f t="array" ref="M104">F104 + MMULT($P$9:$AY$9, IF(F105:F140="", 0, F105:F140))</f>
        <v>0.16198442946886907</v>
      </c>
    </row>
    <row r="105" spans="2:13" x14ac:dyDescent="0.25">
      <c r="B105" s="4" t="s">
        <v>16</v>
      </c>
      <c r="C105" s="46"/>
      <c r="E105" s="46"/>
      <c r="H105" s="7">
        <v>6</v>
      </c>
      <c r="I105" s="19">
        <f>retornos!D8</f>
        <v>0</v>
      </c>
      <c r="J105" s="20" cm="1">
        <f t="array" ref="J105">C104 + MMULT($P$10:$AY$10, IF(C105:C140="", 0, C105:C140))</f>
        <v>-0.12327167419064548</v>
      </c>
      <c r="K105" s="20" cm="1">
        <f t="array" ref="K105">D104 + MMULT($P$10:$AY$10, IF(D105:D140="", 0, D105:D140))</f>
        <v>-9.0323270746130335E-2</v>
      </c>
      <c r="L105" s="20" cm="1">
        <f t="array" ref="L105">E104 + MMULT($P$10:$AY$10, IF(E105:E140="", 0, E105:E140))</f>
        <v>-4.3762562717689524E-2</v>
      </c>
      <c r="M105" s="20" cm="1">
        <f t="array" ref="M105">F104 + MMULT($P$10:$AY$10, IF(F105:F140="", 0, F105:F140))</f>
        <v>2.3676513860999046E-2</v>
      </c>
    </row>
    <row r="106" spans="2:13" x14ac:dyDescent="0.25">
      <c r="B106" s="4" t="s">
        <v>13</v>
      </c>
      <c r="C106" s="46"/>
      <c r="E106" s="46"/>
    </row>
    <row r="107" spans="2:13" x14ac:dyDescent="0.25">
      <c r="B107" s="4" t="s">
        <v>17</v>
      </c>
      <c r="C107" s="46"/>
      <c r="E107" s="46"/>
    </row>
    <row r="108" spans="2:13" x14ac:dyDescent="0.25">
      <c r="B108" s="4" t="s">
        <v>14</v>
      </c>
      <c r="C108" s="46"/>
      <c r="E108" s="46"/>
    </row>
    <row r="109" spans="2:13" x14ac:dyDescent="0.25">
      <c r="B109" s="4" t="s">
        <v>15</v>
      </c>
      <c r="C109" s="46"/>
      <c r="E109" s="46"/>
    </row>
    <row r="110" spans="2:13" x14ac:dyDescent="0.25">
      <c r="B110" s="4" t="s">
        <v>21</v>
      </c>
      <c r="C110" s="46"/>
      <c r="E110" s="46"/>
    </row>
    <row r="111" spans="2:13" x14ac:dyDescent="0.25">
      <c r="B111" s="4" t="s">
        <v>22</v>
      </c>
      <c r="C111" s="46"/>
      <c r="E111" s="46"/>
    </row>
    <row r="112" spans="2:13" x14ac:dyDescent="0.25">
      <c r="B112" s="4" t="s">
        <v>23</v>
      </c>
      <c r="C112" s="46"/>
      <c r="E112" s="46"/>
    </row>
    <row r="113" spans="2:6" x14ac:dyDescent="0.25">
      <c r="B113" s="4" t="s">
        <v>18</v>
      </c>
      <c r="C113" s="46"/>
      <c r="E113" s="46"/>
      <c r="F113">
        <v>2.133965219328732</v>
      </c>
    </row>
    <row r="114" spans="2:6" x14ac:dyDescent="0.25">
      <c r="B114" s="4" t="s">
        <v>24</v>
      </c>
      <c r="C114" s="46"/>
      <c r="E114" s="46"/>
    </row>
    <row r="115" spans="2:6" x14ac:dyDescent="0.25">
      <c r="B115" s="4" t="s">
        <v>25</v>
      </c>
      <c r="C115" s="46"/>
      <c r="E115" s="46"/>
    </row>
    <row r="116" spans="2:6" x14ac:dyDescent="0.25">
      <c r="B116" s="4" t="s">
        <v>26</v>
      </c>
      <c r="C116" s="46"/>
      <c r="E116" s="46"/>
    </row>
    <row r="117" spans="2:6" x14ac:dyDescent="0.25">
      <c r="B117" s="4" t="s">
        <v>27</v>
      </c>
      <c r="C117" s="46"/>
      <c r="E117" s="46"/>
    </row>
    <row r="118" spans="2:6" x14ac:dyDescent="0.25">
      <c r="B118" s="4" t="s">
        <v>28</v>
      </c>
      <c r="C118" s="46"/>
      <c r="E118" s="46"/>
    </row>
    <row r="119" spans="2:6" x14ac:dyDescent="0.25">
      <c r="B119" s="4" t="s">
        <v>29</v>
      </c>
      <c r="C119" s="46"/>
      <c r="E119" s="46"/>
    </row>
    <row r="120" spans="2:6" x14ac:dyDescent="0.25">
      <c r="B120" s="4" t="s">
        <v>30</v>
      </c>
      <c r="C120" s="46"/>
      <c r="E120" s="46">
        <v>-1.3972005004567561E-2</v>
      </c>
    </row>
    <row r="121" spans="2:6" x14ac:dyDescent="0.25">
      <c r="B121" s="4" t="s">
        <v>31</v>
      </c>
      <c r="C121" s="46"/>
      <c r="E121" s="46"/>
    </row>
    <row r="122" spans="2:6" x14ac:dyDescent="0.25">
      <c r="B122" s="4" t="s">
        <v>32</v>
      </c>
      <c r="C122" s="46">
        <v>6.0854440969241343E-2</v>
      </c>
      <c r="D122">
        <v>6.0282595045685658E-2</v>
      </c>
      <c r="E122" s="46">
        <v>5.9009524786596532E-2</v>
      </c>
    </row>
    <row r="123" spans="2:6" x14ac:dyDescent="0.25">
      <c r="B123" s="4" t="s">
        <v>51</v>
      </c>
      <c r="C123" s="46"/>
      <c r="E123" s="46"/>
    </row>
    <row r="124" spans="2:6" x14ac:dyDescent="0.25">
      <c r="B124" s="4" t="s">
        <v>52</v>
      </c>
      <c r="C124" s="46"/>
      <c r="D124">
        <v>15.327951857808049</v>
      </c>
      <c r="E124" s="46">
        <v>8.7030741154284748</v>
      </c>
    </row>
    <row r="125" spans="2:6" x14ac:dyDescent="0.25">
      <c r="B125" s="4" t="s">
        <v>53</v>
      </c>
      <c r="C125" s="46"/>
      <c r="E125" s="46"/>
    </row>
    <row r="126" spans="2:6" x14ac:dyDescent="0.25">
      <c r="B126" s="4" t="s">
        <v>54</v>
      </c>
      <c r="C126" s="46"/>
      <c r="E126" s="46"/>
    </row>
    <row r="127" spans="2:6" x14ac:dyDescent="0.25">
      <c r="B127" s="4" t="s">
        <v>55</v>
      </c>
      <c r="C127" s="46"/>
      <c r="E127" s="46"/>
    </row>
    <row r="128" spans="2:6" x14ac:dyDescent="0.25">
      <c r="B128" s="4" t="s">
        <v>56</v>
      </c>
      <c r="C128" s="46"/>
      <c r="E128" s="46"/>
    </row>
    <row r="129" spans="2:13" x14ac:dyDescent="0.25">
      <c r="B129" s="4" t="s">
        <v>57</v>
      </c>
      <c r="C129" s="46"/>
      <c r="D129">
        <v>10.510631469346119</v>
      </c>
      <c r="E129" s="46"/>
    </row>
    <row r="130" spans="2:13" x14ac:dyDescent="0.25">
      <c r="B130" s="4" t="s">
        <v>58</v>
      </c>
      <c r="C130" s="46"/>
      <c r="E130" s="46"/>
    </row>
    <row r="131" spans="2:13" x14ac:dyDescent="0.25">
      <c r="B131" s="4" t="s">
        <v>59</v>
      </c>
      <c r="C131" s="46">
        <v>0.73075242325558065</v>
      </c>
      <c r="E131" s="46"/>
    </row>
    <row r="132" spans="2:13" x14ac:dyDescent="0.25">
      <c r="B132" s="4" t="s">
        <v>60</v>
      </c>
      <c r="C132" s="46"/>
      <c r="E132" s="46"/>
    </row>
    <row r="133" spans="2:13" x14ac:dyDescent="0.25">
      <c r="B133" s="4" t="s">
        <v>61</v>
      </c>
      <c r="C133" s="46">
        <v>0.91471086674971702</v>
      </c>
      <c r="E133" s="46"/>
      <c r="F133">
        <v>-0.414263044277137</v>
      </c>
    </row>
    <row r="134" spans="2:13" x14ac:dyDescent="0.25">
      <c r="B134" s="4" t="s">
        <v>62</v>
      </c>
      <c r="C134" s="46"/>
      <c r="E134" s="46"/>
    </row>
    <row r="135" spans="2:13" x14ac:dyDescent="0.25">
      <c r="B135" s="4" t="s">
        <v>63</v>
      </c>
      <c r="C135" s="46"/>
      <c r="E135" s="46"/>
    </row>
    <row r="136" spans="2:13" x14ac:dyDescent="0.25">
      <c r="B136" s="4" t="s">
        <v>64</v>
      </c>
      <c r="C136" s="46"/>
      <c r="E136" s="46"/>
    </row>
    <row r="137" spans="2:13" x14ac:dyDescent="0.25">
      <c r="B137" s="4" t="s">
        <v>65</v>
      </c>
      <c r="C137" s="46"/>
      <c r="E137" s="46"/>
    </row>
    <row r="138" spans="2:13" x14ac:dyDescent="0.25">
      <c r="B138" s="4" t="s">
        <v>66</v>
      </c>
      <c r="C138" s="46"/>
      <c r="E138" s="46"/>
    </row>
    <row r="139" spans="2:13" x14ac:dyDescent="0.25">
      <c r="B139" s="4" t="s">
        <v>67</v>
      </c>
      <c r="C139" s="46"/>
      <c r="E139" s="46"/>
    </row>
    <row r="140" spans="2:13" x14ac:dyDescent="0.25">
      <c r="B140" s="4" t="s">
        <v>68</v>
      </c>
      <c r="C140" s="46"/>
      <c r="E140" s="46"/>
      <c r="F140">
        <v>6.7629149809834269E-2</v>
      </c>
    </row>
    <row r="143" spans="2:13" x14ac:dyDescent="0.25">
      <c r="C143" s="51" t="s">
        <v>5</v>
      </c>
      <c r="D143" s="52"/>
      <c r="E143" s="52"/>
      <c r="F143" s="53"/>
      <c r="J143" s="54" t="s">
        <v>41</v>
      </c>
      <c r="K143" s="54"/>
      <c r="L143" s="54"/>
      <c r="M143" s="54"/>
    </row>
    <row r="144" spans="2:13" x14ac:dyDescent="0.25">
      <c r="C144" s="12">
        <v>1</v>
      </c>
      <c r="D144" s="13">
        <v>2</v>
      </c>
      <c r="E144" s="13">
        <v>3</v>
      </c>
      <c r="F144" s="14">
        <v>4</v>
      </c>
      <c r="G144" s="5"/>
      <c r="H144" s="5"/>
      <c r="I144" s="5"/>
      <c r="J144" s="9">
        <v>1</v>
      </c>
      <c r="K144" s="10">
        <v>2</v>
      </c>
      <c r="L144" s="10">
        <v>3</v>
      </c>
      <c r="M144" s="11">
        <v>4</v>
      </c>
    </row>
    <row r="145" spans="2:13" x14ac:dyDescent="0.25">
      <c r="B145" s="4" t="s">
        <v>33</v>
      </c>
      <c r="C145" s="46" t="s">
        <v>99</v>
      </c>
      <c r="D145" t="s">
        <v>100</v>
      </c>
      <c r="E145" s="46" t="s">
        <v>101</v>
      </c>
      <c r="F145" t="s">
        <v>102</v>
      </c>
      <c r="G145" t="s">
        <v>40</v>
      </c>
      <c r="H145" s="8" t="s">
        <v>0</v>
      </c>
      <c r="I145" s="15" t="s">
        <v>43</v>
      </c>
      <c r="J145" s="16" t="s">
        <v>42</v>
      </c>
      <c r="K145" s="16" t="s">
        <v>42</v>
      </c>
      <c r="L145" s="16" t="s">
        <v>42</v>
      </c>
      <c r="M145" s="17" t="s">
        <v>42</v>
      </c>
    </row>
    <row r="146" spans="2:13" x14ac:dyDescent="0.25">
      <c r="B146" s="4" t="s">
        <v>34</v>
      </c>
      <c r="C146" s="46">
        <v>3</v>
      </c>
      <c r="D146">
        <v>3</v>
      </c>
      <c r="E146" s="46">
        <v>3</v>
      </c>
      <c r="F146">
        <v>3</v>
      </c>
      <c r="H146" s="6">
        <v>0</v>
      </c>
      <c r="I146" s="19">
        <f>retornos!E2</f>
        <v>4.41E-2</v>
      </c>
      <c r="J146" s="20" cm="1">
        <f t="array" ref="J146">C151 + MMULT($P$4:$AY$4, IF(C152:C187="", 0, C152:C187))</f>
        <v>4.6091083893240632E-2</v>
      </c>
      <c r="K146" s="20" cm="1">
        <f t="array" ref="K146">D151 + MMULT($P$4:$AY$4, IF(D152:D187="", 0, D152:D187))</f>
        <v>4.079308943628901E-2</v>
      </c>
      <c r="L146" s="20" cm="1">
        <f t="array" ref="L146">E151 + MMULT($P$4:$AY$4, IF(E152:E187="", 0, E152:E187))</f>
        <v>3.9439213154255109E-2</v>
      </c>
      <c r="M146" s="20" cm="1">
        <f t="array" ref="M146">F151 + MMULT($P$4:$AY$4, IF(F152:F187="", 0, F152:F187))</f>
        <v>3.5945825535605699E-2</v>
      </c>
    </row>
    <row r="147" spans="2:13" x14ac:dyDescent="0.25">
      <c r="B147" s="4" t="s">
        <v>35</v>
      </c>
      <c r="C147" s="46">
        <v>0.9987502207977883</v>
      </c>
      <c r="D147">
        <v>0.99828026223410626</v>
      </c>
      <c r="E147" s="46">
        <v>0.99825562704529358</v>
      </c>
      <c r="F147">
        <v>0.99651420171579397</v>
      </c>
      <c r="H147" s="7">
        <v>1</v>
      </c>
      <c r="I147" s="19">
        <f>retornos!E3</f>
        <v>-1.34E-2</v>
      </c>
      <c r="J147" s="20" cm="1">
        <f t="array" ref="J147">C151 + MMULT($P$5:$AY$5, IF(C152:C187="", 0, C152:C187))</f>
        <v>-9.7501540620652041E-3</v>
      </c>
      <c r="K147" s="20" cm="1">
        <f t="array" ref="K147">D151 + MMULT($P$5:$AY$5, IF(D152:D187="", 0, D152:D187))</f>
        <v>-1.4297052719074999E-2</v>
      </c>
      <c r="L147" s="20" cm="1">
        <f t="array" ref="L147">E151 + MMULT($P$5:$AY$5, IF(E152:E187="", 0, E152:E187))</f>
        <v>-8.29145381934078E-3</v>
      </c>
      <c r="M147" s="20" cm="1">
        <f t="array" ref="M147">F151 + MMULT($P$5:$AY$5, IF(F152:F187="", 0, F152:F187))</f>
        <v>-1.2030783959344676E-2</v>
      </c>
    </row>
    <row r="148" spans="2:13" x14ac:dyDescent="0.25">
      <c r="B148" s="4" t="s">
        <v>36</v>
      </c>
      <c r="C148" s="46">
        <v>3.5377624021741903E-5</v>
      </c>
      <c r="D148">
        <v>4.8680787766437682E-5</v>
      </c>
      <c r="E148" s="46">
        <v>4.9378138503257732E-5</v>
      </c>
      <c r="F148">
        <v>9.8672838286980121E-5</v>
      </c>
      <c r="H148" s="7">
        <v>2</v>
      </c>
      <c r="I148" s="19">
        <f>retornos!E4</f>
        <v>-4.5199999999999997E-2</v>
      </c>
      <c r="J148" s="20" cm="1">
        <f t="array" ref="J148">C151 + MMULT($P$6:$AY$6, IF(C152:C187="", 0, C152:C187))</f>
        <v>-4.6365729589614109E-2</v>
      </c>
      <c r="K148" s="20" cm="1">
        <f t="array" ref="K148">D151 + MMULT($P$6:$AY$6, IF(D152:D187="", 0, D152:D187))</f>
        <v>-4.8007842550510382E-2</v>
      </c>
      <c r="L148" s="20" cm="1">
        <f t="array" ref="L148">E151 + MMULT($P$6:$AY$6, IF(E152:E187="", 0, E152:E187))</f>
        <v>-4.5214039635557646E-2</v>
      </c>
      <c r="M148" s="20" cm="1">
        <f t="array" ref="M148">F151 + MMULT($P$6:$AY$6, IF(F152:F187="", 0, F152:F187))</f>
        <v>-4.3662840058500921E-2</v>
      </c>
    </row>
    <row r="149" spans="2:13" x14ac:dyDescent="0.25">
      <c r="B149" s="4" t="s">
        <v>37</v>
      </c>
      <c r="C149" s="46">
        <v>-48.052842704752933</v>
      </c>
      <c r="D149">
        <v>-46.137613184567208</v>
      </c>
      <c r="E149" s="46">
        <v>-46.052273172841197</v>
      </c>
      <c r="F149">
        <v>-41.898461604351787</v>
      </c>
      <c r="H149" s="7">
        <v>3</v>
      </c>
      <c r="I149" s="19">
        <f>retornos!E5</f>
        <v>0.22510000000000002</v>
      </c>
      <c r="J149" s="20" cm="1">
        <f t="array" ref="J149">C151 + MMULT($P$7:$AY$7, IF(C152:C187="", 0, C152:C187))</f>
        <v>0.22613537396753369</v>
      </c>
      <c r="K149" s="20" cm="1">
        <f t="array" ref="K149">D151 + MMULT($P$7:$AY$7, IF(D152:D187="", 0, D152:D187))</f>
        <v>0.22581806647857827</v>
      </c>
      <c r="L149" s="20" cm="1">
        <f t="array" ref="L149">E151 + MMULT($P$7:$AY$7, IF(E152:E187="", 0, E152:E187))</f>
        <v>0.22559758645481892</v>
      </c>
      <c r="M149" s="20" cm="1">
        <f t="array" ref="M149">F151 + MMULT($P$7:$AY$7, IF(F152:F187="", 0, F152:F187))</f>
        <v>0.22377750029944393</v>
      </c>
    </row>
    <row r="150" spans="2:13" x14ac:dyDescent="0.25">
      <c r="B150" s="4" t="s">
        <v>38</v>
      </c>
      <c r="C150" s="46">
        <v>7.4977379663396389E-4</v>
      </c>
      <c r="D150">
        <v>1.031665189307479E-3</v>
      </c>
      <c r="E150" s="46">
        <v>1.0464411813666801E-3</v>
      </c>
      <c r="F150">
        <v>2.090749753633412E-3</v>
      </c>
      <c r="H150" s="7">
        <v>4</v>
      </c>
      <c r="I150" s="19">
        <f>retornos!E6</f>
        <v>-7.1300000000000002E-2</v>
      </c>
      <c r="J150" s="20" cm="1">
        <f t="array" ref="J150">C151 + MMULT($P$8:$AY$8, IF(C152:C187="", 0, C152:C187))</f>
        <v>-7.3566566941554584E-2</v>
      </c>
      <c r="K150" s="20" cm="1">
        <f t="array" ref="K150">D151 + MMULT($P$8:$AY$8, IF(D152:D187="", 0, D152:D187))</f>
        <v>-6.6063243971596686E-2</v>
      </c>
      <c r="L150" s="20" cm="1">
        <f t="array" ref="L150">E151 + MMULT($P$8:$AY$8, IF(E152:E187="", 0, E152:E187))</f>
        <v>-7.2427659660919408E-2</v>
      </c>
      <c r="M150" s="20" cm="1">
        <f t="array" ref="M150">F151 + MMULT($P$8:$AY$8, IF(F152:F187="", 0, F152:F187))</f>
        <v>-6.9533279253316774E-2</v>
      </c>
    </row>
    <row r="151" spans="2:13" x14ac:dyDescent="0.25">
      <c r="B151" s="4" t="s">
        <v>39</v>
      </c>
      <c r="C151" s="46">
        <v>4.6091083893240632E-2</v>
      </c>
      <c r="D151">
        <v>0.81313853706021111</v>
      </c>
      <c r="E151" s="46">
        <v>-0.103462947471674</v>
      </c>
      <c r="F151">
        <v>-5.963532596174613E-2</v>
      </c>
      <c r="H151" s="7">
        <v>5</v>
      </c>
      <c r="I151" s="19">
        <f>retornos!E7</f>
        <v>0.16079999999999997</v>
      </c>
      <c r="J151" s="20" cm="1">
        <f t="array" ref="J151">C151 + MMULT($P$9:$AY$9, IF(C152:C187="", 0, C152:C187))</f>
        <v>0.15755599273245821</v>
      </c>
      <c r="K151" s="20" cm="1">
        <f t="array" ref="K151">D151 + MMULT($P$9:$AY$9, IF(D152:D187="", 0, D152:D187))</f>
        <v>0.16185698332632192</v>
      </c>
      <c r="L151" s="20" cm="1">
        <f t="array" ref="L151">E151 + MMULT($P$9:$AY$9, IF(E152:E187="", 0, E152:E187))</f>
        <v>0.16099635350674363</v>
      </c>
      <c r="M151" s="20" cm="1">
        <f t="array" ref="M151">F151 + MMULT($P$9:$AY$9, IF(F152:F187="", 0, F152:F187))</f>
        <v>0.16560357743611259</v>
      </c>
    </row>
    <row r="152" spans="2:13" x14ac:dyDescent="0.25">
      <c r="B152" s="4" t="s">
        <v>16</v>
      </c>
      <c r="C152" s="46"/>
      <c r="E152" s="46"/>
      <c r="H152" s="7">
        <v>6</v>
      </c>
      <c r="I152" s="19">
        <f>retornos!E8</f>
        <v>0</v>
      </c>
      <c r="J152" s="20" cm="1">
        <f t="array" ref="J152">C151 + MMULT($P$10:$AY$10, IF(C152:C187="", 0, C152:C187))</f>
        <v>0.10129273564795609</v>
      </c>
      <c r="K152" s="20" cm="1">
        <f t="array" ref="K152">D151 + MMULT($P$10:$AY$10, IF(D152:D187="", 0, D152:D187))</f>
        <v>0.30848694260675902</v>
      </c>
      <c r="L152" s="20" cm="1">
        <f t="array" ref="L152">E151 + MMULT($P$10:$AY$10, IF(E152:E187="", 0, E152:E187))</f>
        <v>-1.5812280235208087E-2</v>
      </c>
      <c r="M152" s="20" cm="1">
        <f t="array" ref="M152">F151 + MMULT($P$10:$AY$10, IF(F152:F187="", 0, F152:F187))</f>
        <v>3.1599177098549633E-2</v>
      </c>
    </row>
    <row r="153" spans="2:13" x14ac:dyDescent="0.25">
      <c r="B153" s="4" t="s">
        <v>13</v>
      </c>
      <c r="C153" s="46"/>
      <c r="D153">
        <v>-9.6543180952990255</v>
      </c>
      <c r="E153" s="46"/>
    </row>
    <row r="154" spans="2:13" x14ac:dyDescent="0.25">
      <c r="B154" s="4" t="s">
        <v>17</v>
      </c>
      <c r="C154" s="46"/>
      <c r="E154" s="46"/>
    </row>
    <row r="155" spans="2:13" x14ac:dyDescent="0.25">
      <c r="B155" s="4" t="s">
        <v>14</v>
      </c>
      <c r="C155" s="46"/>
      <c r="E155" s="46"/>
    </row>
    <row r="156" spans="2:13" x14ac:dyDescent="0.25">
      <c r="B156" s="4" t="s">
        <v>15</v>
      </c>
      <c r="C156" s="46"/>
      <c r="E156" s="46"/>
    </row>
    <row r="157" spans="2:13" x14ac:dyDescent="0.25">
      <c r="B157" s="4" t="s">
        <v>21</v>
      </c>
      <c r="C157" s="46"/>
      <c r="E157" s="46">
        <v>6.9708371037038601</v>
      </c>
    </row>
    <row r="158" spans="2:13" x14ac:dyDescent="0.25">
      <c r="B158" s="4" t="s">
        <v>22</v>
      </c>
      <c r="C158" s="46"/>
      <c r="E158" s="46"/>
    </row>
    <row r="159" spans="2:13" x14ac:dyDescent="0.25">
      <c r="B159" s="4" t="s">
        <v>23</v>
      </c>
      <c r="C159" s="46"/>
      <c r="E159" s="46"/>
    </row>
    <row r="160" spans="2:13" x14ac:dyDescent="0.25">
      <c r="B160" s="4" t="s">
        <v>18</v>
      </c>
      <c r="C160" s="46"/>
      <c r="E160" s="46"/>
    </row>
    <row r="161" spans="2:6" x14ac:dyDescent="0.25">
      <c r="B161" s="4" t="s">
        <v>24</v>
      </c>
      <c r="C161" s="46"/>
      <c r="E161" s="46"/>
    </row>
    <row r="162" spans="2:6" x14ac:dyDescent="0.25">
      <c r="B162" s="4" t="s">
        <v>25</v>
      </c>
      <c r="C162" s="46"/>
      <c r="E162" s="46"/>
    </row>
    <row r="163" spans="2:6" x14ac:dyDescent="0.25">
      <c r="B163" s="4" t="s">
        <v>26</v>
      </c>
      <c r="C163" s="46"/>
      <c r="E163" s="46"/>
    </row>
    <row r="164" spans="2:6" x14ac:dyDescent="0.25">
      <c r="B164" s="4" t="s">
        <v>27</v>
      </c>
      <c r="C164" s="46"/>
      <c r="E164" s="46"/>
    </row>
    <row r="165" spans="2:6" x14ac:dyDescent="0.25">
      <c r="B165" s="4" t="s">
        <v>28</v>
      </c>
      <c r="C165" s="46"/>
      <c r="E165" s="46"/>
    </row>
    <row r="166" spans="2:6" x14ac:dyDescent="0.25">
      <c r="B166" s="4" t="s">
        <v>29</v>
      </c>
      <c r="C166" s="46">
        <v>1.017308921423177</v>
      </c>
      <c r="E166" s="46">
        <v>1.2392412905150409</v>
      </c>
      <c r="F166">
        <v>1.3888827110397799</v>
      </c>
    </row>
    <row r="167" spans="2:6" x14ac:dyDescent="0.25">
      <c r="B167" s="4" t="s">
        <v>30</v>
      </c>
      <c r="C167" s="46"/>
      <c r="E167" s="46"/>
    </row>
    <row r="168" spans="2:6" x14ac:dyDescent="0.25">
      <c r="B168" s="4" t="s">
        <v>31</v>
      </c>
      <c r="C168" s="46">
        <v>-1.0836006327150121</v>
      </c>
      <c r="E168" s="46">
        <v>-1.401985109210893</v>
      </c>
      <c r="F168">
        <v>-1.4101421420809519</v>
      </c>
    </row>
    <row r="169" spans="2:6" x14ac:dyDescent="0.25">
      <c r="B169" s="4" t="s">
        <v>32</v>
      </c>
      <c r="C169" s="46">
        <v>-3.4616260989458289E-2</v>
      </c>
      <c r="D169">
        <v>-8.9475165817327534E-2</v>
      </c>
      <c r="E169" s="46"/>
    </row>
    <row r="170" spans="2:6" x14ac:dyDescent="0.25">
      <c r="B170" s="4" t="s">
        <v>51</v>
      </c>
      <c r="C170" s="46"/>
      <c r="E170" s="46"/>
    </row>
    <row r="171" spans="2:6" x14ac:dyDescent="0.25">
      <c r="B171" s="4" t="s">
        <v>52</v>
      </c>
      <c r="C171" s="46"/>
      <c r="E171" s="46"/>
    </row>
    <row r="172" spans="2:6" x14ac:dyDescent="0.25">
      <c r="B172" s="4" t="s">
        <v>53</v>
      </c>
      <c r="C172" s="46"/>
      <c r="E172" s="46"/>
    </row>
    <row r="173" spans="2:6" x14ac:dyDescent="0.25">
      <c r="B173" s="4" t="s">
        <v>54</v>
      </c>
      <c r="C173" s="46"/>
      <c r="E173" s="46"/>
    </row>
    <row r="174" spans="2:6" x14ac:dyDescent="0.25">
      <c r="B174" s="4" t="s">
        <v>55</v>
      </c>
      <c r="C174" s="46"/>
      <c r="E174" s="46"/>
    </row>
    <row r="175" spans="2:6" x14ac:dyDescent="0.25">
      <c r="B175" s="4" t="s">
        <v>56</v>
      </c>
      <c r="C175" s="46"/>
      <c r="E175" s="46"/>
      <c r="F175">
        <v>4.6624951949927729</v>
      </c>
    </row>
    <row r="176" spans="2:6" x14ac:dyDescent="0.25">
      <c r="B176" s="4" t="s">
        <v>57</v>
      </c>
      <c r="C176" s="46"/>
      <c r="E176" s="46"/>
    </row>
    <row r="177" spans="2:13" x14ac:dyDescent="0.25">
      <c r="B177" s="4" t="s">
        <v>58</v>
      </c>
      <c r="C177" s="46"/>
      <c r="E177" s="46"/>
    </row>
    <row r="178" spans="2:13" x14ac:dyDescent="0.25">
      <c r="B178" s="4" t="s">
        <v>59</v>
      </c>
      <c r="C178" s="46"/>
      <c r="E178" s="46"/>
    </row>
    <row r="179" spans="2:13" x14ac:dyDescent="0.25">
      <c r="B179" s="4" t="s">
        <v>60</v>
      </c>
      <c r="C179" s="46"/>
      <c r="E179" s="46"/>
    </row>
    <row r="180" spans="2:13" x14ac:dyDescent="0.25">
      <c r="B180" s="4" t="s">
        <v>61</v>
      </c>
      <c r="C180" s="46"/>
      <c r="E180" s="46"/>
    </row>
    <row r="181" spans="2:13" x14ac:dyDescent="0.25">
      <c r="B181" s="4" t="s">
        <v>62</v>
      </c>
      <c r="C181" s="46"/>
      <c r="E181" s="46"/>
    </row>
    <row r="182" spans="2:13" x14ac:dyDescent="0.25">
      <c r="B182" s="4" t="s">
        <v>63</v>
      </c>
      <c r="C182" s="46"/>
      <c r="E182" s="46"/>
    </row>
    <row r="183" spans="2:13" x14ac:dyDescent="0.25">
      <c r="B183" s="4" t="s">
        <v>64</v>
      </c>
      <c r="C183" s="46"/>
      <c r="D183">
        <v>-0.23643318859299231</v>
      </c>
      <c r="E183" s="46"/>
    </row>
    <row r="184" spans="2:13" x14ac:dyDescent="0.25">
      <c r="B184" s="4" t="s">
        <v>65</v>
      </c>
      <c r="C184" s="46"/>
      <c r="E184" s="46"/>
    </row>
    <row r="185" spans="2:13" x14ac:dyDescent="0.25">
      <c r="B185" s="4" t="s">
        <v>66</v>
      </c>
      <c r="C185" s="46"/>
      <c r="E185" s="46"/>
    </row>
    <row r="186" spans="2:13" x14ac:dyDescent="0.25">
      <c r="B186" s="4" t="s">
        <v>67</v>
      </c>
      <c r="C186" s="46"/>
      <c r="E186" s="46"/>
    </row>
    <row r="187" spans="2:13" x14ac:dyDescent="0.25">
      <c r="B187" s="4" t="s">
        <v>68</v>
      </c>
      <c r="C187" s="46"/>
      <c r="E187" s="46"/>
    </row>
    <row r="190" spans="2:13" x14ac:dyDescent="0.25">
      <c r="C190" s="51" t="s">
        <v>6</v>
      </c>
      <c r="D190" s="52"/>
      <c r="E190" s="52"/>
      <c r="F190" s="53"/>
      <c r="J190" s="54" t="s">
        <v>41</v>
      </c>
      <c r="K190" s="54"/>
      <c r="L190" s="54"/>
      <c r="M190" s="54"/>
    </row>
    <row r="191" spans="2:13" x14ac:dyDescent="0.25">
      <c r="C191" s="12">
        <v>1</v>
      </c>
      <c r="D191" s="13">
        <v>2</v>
      </c>
      <c r="E191" s="13">
        <v>3</v>
      </c>
      <c r="F191" s="14">
        <v>4</v>
      </c>
      <c r="G191" s="5"/>
      <c r="H191" s="5"/>
      <c r="I191" s="5"/>
      <c r="J191" s="9">
        <v>1</v>
      </c>
      <c r="K191" s="10">
        <v>2</v>
      </c>
      <c r="L191" s="10">
        <v>3</v>
      </c>
      <c r="M191" s="11">
        <v>4</v>
      </c>
    </row>
    <row r="192" spans="2:13" x14ac:dyDescent="0.25">
      <c r="B192" s="4" t="s">
        <v>33</v>
      </c>
      <c r="C192" s="46" t="s">
        <v>129</v>
      </c>
      <c r="D192" t="s">
        <v>130</v>
      </c>
      <c r="E192" s="46" t="s">
        <v>131</v>
      </c>
      <c r="F192" t="s">
        <v>132</v>
      </c>
      <c r="G192" t="s">
        <v>40</v>
      </c>
      <c r="H192" s="8" t="s">
        <v>0</v>
      </c>
      <c r="I192" s="15" t="s">
        <v>43</v>
      </c>
      <c r="J192" s="16" t="s">
        <v>42</v>
      </c>
      <c r="K192" s="16" t="s">
        <v>42</v>
      </c>
      <c r="L192" s="16" t="s">
        <v>42</v>
      </c>
      <c r="M192" s="17" t="s">
        <v>42</v>
      </c>
    </row>
    <row r="193" spans="2:13" x14ac:dyDescent="0.25">
      <c r="B193" s="4" t="s">
        <v>34</v>
      </c>
      <c r="C193" s="46">
        <v>3</v>
      </c>
      <c r="D193">
        <v>3</v>
      </c>
      <c r="E193" s="46">
        <v>3</v>
      </c>
      <c r="F193">
        <v>3</v>
      </c>
      <c r="H193" s="6">
        <v>0</v>
      </c>
      <c r="I193" s="19">
        <f>retornos!F2</f>
        <v>3.3500000000000002E-2</v>
      </c>
      <c r="J193" s="20" cm="1">
        <f t="array" ref="J193">C198 + MMULT($P$4:$AY$4, IF(C199:C234="", 0, C199:C234))</f>
        <v>3.2963147673467585E-2</v>
      </c>
      <c r="K193" s="20" cm="1">
        <f t="array" ref="K193">D198 + MMULT($P$4:$AY$4, IF(D199:D234="", 0, D199:D234))</f>
        <v>3.9455482502149364E-2</v>
      </c>
      <c r="L193" s="20" cm="1">
        <f t="array" ref="L193">E198 + MMULT($P$4:$AY$4, IF(E199:E234="", 0, E199:E234))</f>
        <v>4.6052766573980011E-2</v>
      </c>
      <c r="M193" s="20" cm="1">
        <f t="array" ref="M193">F198 + MMULT($P$4:$AY$4, IF(F199:F234="", 0, F199:F234))</f>
        <v>4.5493148348788093E-2</v>
      </c>
    </row>
    <row r="194" spans="2:13" x14ac:dyDescent="0.25">
      <c r="B194" s="4" t="s">
        <v>35</v>
      </c>
      <c r="C194" s="46">
        <v>0.99543569450658498</v>
      </c>
      <c r="D194">
        <v>0.99523739075694828</v>
      </c>
      <c r="E194" s="46">
        <v>0.99336813897017251</v>
      </c>
      <c r="F194">
        <v>0.99163771789276423</v>
      </c>
      <c r="H194" s="7">
        <v>1</v>
      </c>
      <c r="I194" s="19">
        <f>retornos!F3</f>
        <v>0.10869999999999999</v>
      </c>
      <c r="J194" s="20" cm="1">
        <f t="array" ref="J194">C198 + MMULT($P$5:$AY$5, IF(C199:C234="", 0, C199:C234))</f>
        <v>0.10218542067965647</v>
      </c>
      <c r="K194" s="20" cm="1">
        <f t="array" ref="K194">D198 + MMULT($P$5:$AY$5, IF(D199:D234="", 0, D199:D234))</f>
        <v>9.8760131944825913E-2</v>
      </c>
      <c r="L194" s="20" cm="1">
        <f t="array" ref="L194">E198 + MMULT($P$5:$AY$5, IF(E199:E234="", 0, E199:E234))</f>
        <v>0.10206480537672841</v>
      </c>
      <c r="M194" s="20" cm="1">
        <f t="array" ref="M194">F198 + MMULT($P$5:$AY$5, IF(F199:F234="", 0, F199:F234))</f>
        <v>0.10594586000951076</v>
      </c>
    </row>
    <row r="195" spans="2:13" x14ac:dyDescent="0.25">
      <c r="B195" s="4" t="s">
        <v>36</v>
      </c>
      <c r="C195" s="46">
        <v>1.5705785244312601E-4</v>
      </c>
      <c r="D195">
        <v>1.638814888308071E-4</v>
      </c>
      <c r="E195" s="46">
        <v>2.2820248393730651E-4</v>
      </c>
      <c r="F195">
        <v>2.8774631128018313E-4</v>
      </c>
      <c r="H195" s="7">
        <v>2</v>
      </c>
      <c r="I195" s="19">
        <f>retornos!F4</f>
        <v>-0.14910000000000001</v>
      </c>
      <c r="J195" s="20" cm="1">
        <f t="array" ref="J195">C198 + MMULT($P$6:$AY$6, IF(C199:C234="", 0, C199:C234))</f>
        <v>-0.15316467786545165</v>
      </c>
      <c r="K195" s="20" cm="1">
        <f t="array" ref="K195">D198 + MMULT($P$6:$AY$6, IF(D199:D234="", 0, D199:D234))</f>
        <v>-0.1488320066858686</v>
      </c>
      <c r="L195" s="20" cm="1">
        <f t="array" ref="L195">E198 + MMULT($P$6:$AY$6, IF(E199:E234="", 0, E199:E234))</f>
        <v>-0.14932034181517989</v>
      </c>
      <c r="M195" s="20" cm="1">
        <f t="array" ref="M195">F198 + MMULT($P$6:$AY$6, IF(F199:F234="", 0, F199:F234))</f>
        <v>-0.14591407122362376</v>
      </c>
    </row>
    <row r="196" spans="2:13" x14ac:dyDescent="0.25">
      <c r="B196" s="4" t="s">
        <v>37</v>
      </c>
      <c r="C196" s="46">
        <v>-39.109634541550221</v>
      </c>
      <c r="D196">
        <v>-38.85445866265664</v>
      </c>
      <c r="E196" s="46">
        <v>-36.867919954091057</v>
      </c>
      <c r="F196">
        <v>-35.476844517762828</v>
      </c>
      <c r="H196" s="7">
        <v>3</v>
      </c>
      <c r="I196" s="19">
        <f>retornos!F5</f>
        <v>0.16600000000000001</v>
      </c>
      <c r="J196" s="20" cm="1">
        <f t="array" ref="J196">C198 + MMULT($P$7:$AY$7, IF(C199:C234="", 0, C199:C234))</f>
        <v>0.16702782381589132</v>
      </c>
      <c r="K196" s="20" cm="1">
        <f t="array" ref="K196">D198 + MMULT($P$7:$AY$7, IF(D199:D234="", 0, D199:D234))</f>
        <v>0.16428729271576903</v>
      </c>
      <c r="L196" s="20" cm="1">
        <f t="array" ref="L196">E198 + MMULT($P$7:$AY$7, IF(E199:E234="", 0, E199:E234))</f>
        <v>0.16513476198871546</v>
      </c>
      <c r="M196" s="20" cm="1">
        <f t="array" ref="M196">F198 + MMULT($P$7:$AY$7, IF(F199:F234="", 0, F199:F234))</f>
        <v>0.16408178748321078</v>
      </c>
    </row>
    <row r="197" spans="2:13" x14ac:dyDescent="0.25">
      <c r="B197" s="4" t="s">
        <v>38</v>
      </c>
      <c r="C197" s="46">
        <v>2.737332942359436E-3</v>
      </c>
      <c r="D197">
        <v>2.856204166603296E-3</v>
      </c>
      <c r="E197" s="46">
        <v>3.976476555172262E-3</v>
      </c>
      <c r="F197">
        <v>5.013171256657351E-3</v>
      </c>
      <c r="H197" s="7">
        <v>4</v>
      </c>
      <c r="I197" s="19">
        <f>retornos!F6</f>
        <v>0.2036</v>
      </c>
      <c r="J197" s="20" cm="1">
        <f t="array" ref="J197">C198 + MMULT($P$8:$AY$8, IF(C199:C234="", 0, C199:C234))</f>
        <v>0.20385534779054904</v>
      </c>
      <c r="K197" s="20" cm="1">
        <f t="array" ref="K197">D198 + MMULT($P$8:$AY$8, IF(D199:D234="", 0, D199:D234))</f>
        <v>0.20875073454203941</v>
      </c>
      <c r="L197" s="20" cm="1">
        <f t="array" ref="L197">E198 + MMULT($P$8:$AY$8, IF(E199:E234="", 0, E199:E234))</f>
        <v>0.2038423367153645</v>
      </c>
      <c r="M197" s="20" cm="1">
        <f t="array" ref="M197">F198 + MMULT($P$8:$AY$8, IF(F199:F234="", 0, F199:F234))</f>
        <v>0.2041475041931915</v>
      </c>
    </row>
    <row r="198" spans="2:13" ht="15" customHeight="1" x14ac:dyDescent="0.25">
      <c r="B198" s="4" t="s">
        <v>39</v>
      </c>
      <c r="C198" s="46">
        <v>-0.23967158216491169</v>
      </c>
      <c r="D198">
        <v>-1.6816015560580699</v>
      </c>
      <c r="E198" s="46">
        <v>4.6052766573980011E-2</v>
      </c>
      <c r="F198">
        <v>4.5493148348788093E-2</v>
      </c>
      <c r="H198" s="7">
        <v>5</v>
      </c>
      <c r="I198" s="19">
        <f>retornos!F7</f>
        <v>-2.64E-2</v>
      </c>
      <c r="J198" s="20" cm="1">
        <f t="array" ref="J198">C198 + MMULT($P$9:$AY$9, IF(C199:C234="", 0, C199:C234))</f>
        <v>-1.656706209411285E-2</v>
      </c>
      <c r="K198" s="20" cm="1">
        <f t="array" ref="K198">D198 + MMULT($P$9:$AY$9, IF(D199:D234="", 0, D199:D234))</f>
        <v>-2.6121635018912626E-2</v>
      </c>
      <c r="L198" s="20" cm="1">
        <f t="array" ref="L198">E198 + MMULT($P$9:$AY$9, IF(E199:E234="", 0, E199:E234))</f>
        <v>-3.1474328839608504E-2</v>
      </c>
      <c r="M198" s="20" cm="1">
        <f t="array" ref="M198">F198 + MMULT($P$9:$AY$9, IF(F199:F234="", 0, F199:F234))</f>
        <v>-3.7454228811077739E-2</v>
      </c>
    </row>
    <row r="199" spans="2:13" x14ac:dyDescent="0.25">
      <c r="B199" s="4" t="s">
        <v>16</v>
      </c>
      <c r="C199" s="46"/>
      <c r="E199" s="46"/>
      <c r="H199" s="7">
        <v>6</v>
      </c>
      <c r="I199" s="19">
        <f>retornos!F8</f>
        <v>0</v>
      </c>
      <c r="J199" s="20" cm="1">
        <f t="array" ref="J199">C198 + MMULT($P$10:$AY$10, IF(C199:C234="", 0, C199:C234))</f>
        <v>-0.19173001593384284</v>
      </c>
      <c r="K199" s="20" cm="1">
        <f t="array" ref="K199">D198 + MMULT($P$10:$AY$10, IF(D199:D234="", 0, D199:D234))</f>
        <v>-0.15106543875218637</v>
      </c>
      <c r="L199" s="20" cm="1">
        <f t="array" ref="L199">E198 + MMULT($P$10:$AY$10, IF(E199:E234="", 0, E199:E234))</f>
        <v>-0.21989114811470351</v>
      </c>
      <c r="M199" s="20" cm="1">
        <f t="array" ref="M199">F198 + MMULT($P$10:$AY$10, IF(F199:F234="", 0, F199:F234))</f>
        <v>-0.25886171719291579</v>
      </c>
    </row>
    <row r="200" spans="2:13" x14ac:dyDescent="0.25">
      <c r="B200" s="4" t="s">
        <v>13</v>
      </c>
      <c r="C200" s="46"/>
      <c r="E200" s="46"/>
    </row>
    <row r="201" spans="2:13" x14ac:dyDescent="0.25">
      <c r="B201" s="4" t="s">
        <v>17</v>
      </c>
      <c r="C201" s="46"/>
      <c r="E201" s="46"/>
    </row>
    <row r="202" spans="2:13" x14ac:dyDescent="0.25">
      <c r="B202" s="4" t="s">
        <v>14</v>
      </c>
      <c r="C202" s="46"/>
      <c r="E202" s="46"/>
    </row>
    <row r="203" spans="2:13" x14ac:dyDescent="0.25">
      <c r="B203" s="4" t="s">
        <v>15</v>
      </c>
      <c r="C203" s="46"/>
      <c r="E203" s="46"/>
    </row>
    <row r="204" spans="2:13" x14ac:dyDescent="0.25">
      <c r="B204" s="4" t="s">
        <v>21</v>
      </c>
      <c r="C204" s="46"/>
      <c r="E204" s="46"/>
    </row>
    <row r="205" spans="2:13" x14ac:dyDescent="0.25">
      <c r="B205" s="4" t="s">
        <v>22</v>
      </c>
      <c r="C205" s="46"/>
      <c r="E205" s="46"/>
    </row>
    <row r="206" spans="2:13" x14ac:dyDescent="0.25">
      <c r="B206" s="4" t="s">
        <v>23</v>
      </c>
      <c r="C206" s="46"/>
      <c r="E206" s="46"/>
    </row>
    <row r="207" spans="2:13" x14ac:dyDescent="0.25">
      <c r="B207" s="4" t="s">
        <v>18</v>
      </c>
      <c r="C207" s="46"/>
      <c r="E207" s="46"/>
    </row>
    <row r="208" spans="2:13" x14ac:dyDescent="0.25">
      <c r="B208" s="4" t="s">
        <v>24</v>
      </c>
      <c r="C208" s="46">
        <v>-3.0766975217751982E-2</v>
      </c>
      <c r="E208" s="46"/>
    </row>
    <row r="209" spans="2:6" x14ac:dyDescent="0.25">
      <c r="B209" s="4" t="s">
        <v>25</v>
      </c>
      <c r="C209" s="46"/>
      <c r="E209" s="46"/>
    </row>
    <row r="210" spans="2:6" x14ac:dyDescent="0.25">
      <c r="B210" s="4" t="s">
        <v>26</v>
      </c>
      <c r="C210" s="46"/>
      <c r="E210" s="46"/>
    </row>
    <row r="211" spans="2:6" x14ac:dyDescent="0.25">
      <c r="B211" s="4" t="s">
        <v>27</v>
      </c>
      <c r="C211" s="46"/>
      <c r="E211" s="46"/>
    </row>
    <row r="212" spans="2:6" x14ac:dyDescent="0.25">
      <c r="B212" s="4" t="s">
        <v>28</v>
      </c>
      <c r="C212" s="46"/>
      <c r="E212" s="46"/>
    </row>
    <row r="213" spans="2:6" x14ac:dyDescent="0.25">
      <c r="B213" s="4" t="s">
        <v>29</v>
      </c>
      <c r="C213" s="46"/>
      <c r="E213" s="46"/>
    </row>
    <row r="214" spans="2:6" x14ac:dyDescent="0.25">
      <c r="B214" s="4" t="s">
        <v>30</v>
      </c>
      <c r="C214" s="46"/>
      <c r="E214" s="46">
        <v>2.9900465835025269E-2</v>
      </c>
    </row>
    <row r="215" spans="2:6" x14ac:dyDescent="0.25">
      <c r="B215" s="4" t="s">
        <v>31</v>
      </c>
      <c r="C215" s="46"/>
      <c r="E215" s="46"/>
    </row>
    <row r="216" spans="2:6" x14ac:dyDescent="0.25">
      <c r="B216" s="4" t="s">
        <v>32</v>
      </c>
      <c r="C216" s="46">
        <v>0.11919418758577099</v>
      </c>
      <c r="D216">
        <v>0.1016651133303027</v>
      </c>
      <c r="E216" s="46">
        <v>9.39703202903098E-2</v>
      </c>
      <c r="F216">
        <v>0.1036332199898103</v>
      </c>
    </row>
    <row r="217" spans="2:6" x14ac:dyDescent="0.25">
      <c r="B217" s="4" t="s">
        <v>51</v>
      </c>
      <c r="C217" s="46"/>
      <c r="E217" s="46"/>
    </row>
    <row r="218" spans="2:6" x14ac:dyDescent="0.25">
      <c r="B218" s="4" t="s">
        <v>52</v>
      </c>
      <c r="C218" s="46"/>
      <c r="D218">
        <v>21.513212982002742</v>
      </c>
      <c r="E218" s="46"/>
    </row>
    <row r="219" spans="2:6" x14ac:dyDescent="0.25">
      <c r="B219" s="4" t="s">
        <v>53</v>
      </c>
      <c r="C219" s="46"/>
      <c r="E219" s="46"/>
    </row>
    <row r="220" spans="2:6" x14ac:dyDescent="0.25">
      <c r="B220" s="4" t="s">
        <v>54</v>
      </c>
      <c r="C220" s="46"/>
      <c r="E220" s="46"/>
    </row>
    <row r="221" spans="2:6" x14ac:dyDescent="0.25">
      <c r="B221" s="4" t="s">
        <v>55</v>
      </c>
      <c r="C221" s="46">
        <v>9.7369546370849758</v>
      </c>
      <c r="E221" s="46"/>
    </row>
    <row r="222" spans="2:6" x14ac:dyDescent="0.25">
      <c r="B222" s="4" t="s">
        <v>56</v>
      </c>
      <c r="C222" s="46"/>
      <c r="E222" s="46"/>
    </row>
    <row r="223" spans="2:6" x14ac:dyDescent="0.25">
      <c r="B223" s="4" t="s">
        <v>57</v>
      </c>
      <c r="C223" s="46"/>
      <c r="E223" s="46"/>
    </row>
    <row r="224" spans="2:6" x14ac:dyDescent="0.25">
      <c r="B224" s="4" t="s">
        <v>58</v>
      </c>
      <c r="C224" s="46"/>
      <c r="E224" s="46"/>
    </row>
    <row r="225" spans="2:13" x14ac:dyDescent="0.25">
      <c r="B225" s="4" t="s">
        <v>59</v>
      </c>
      <c r="C225" s="46"/>
      <c r="E225" s="46"/>
    </row>
    <row r="226" spans="2:13" x14ac:dyDescent="0.25">
      <c r="B226" s="4" t="s">
        <v>60</v>
      </c>
      <c r="C226" s="46"/>
      <c r="E226" s="46"/>
      <c r="F226">
        <v>-1.959635804047468E-2</v>
      </c>
    </row>
    <row r="227" spans="2:13" x14ac:dyDescent="0.25">
      <c r="B227" s="4" t="s">
        <v>61</v>
      </c>
      <c r="C227" s="46"/>
      <c r="E227" s="46"/>
    </row>
    <row r="228" spans="2:13" x14ac:dyDescent="0.25">
      <c r="B228" s="4" t="s">
        <v>62</v>
      </c>
      <c r="C228" s="46"/>
      <c r="E228" s="46">
        <v>0.3946299520824767</v>
      </c>
      <c r="F228">
        <v>0.39268020530147513</v>
      </c>
    </row>
    <row r="229" spans="2:13" x14ac:dyDescent="0.25">
      <c r="B229" s="4" t="s">
        <v>63</v>
      </c>
      <c r="C229" s="46"/>
      <c r="E229" s="46"/>
    </row>
    <row r="230" spans="2:13" x14ac:dyDescent="0.25">
      <c r="B230" s="4" t="s">
        <v>64</v>
      </c>
      <c r="C230" s="46"/>
      <c r="E230" s="46"/>
    </row>
    <row r="231" spans="2:13" x14ac:dyDescent="0.25">
      <c r="B231" s="4" t="s">
        <v>65</v>
      </c>
      <c r="C231" s="46"/>
      <c r="E231" s="46"/>
    </row>
    <row r="232" spans="2:13" x14ac:dyDescent="0.25">
      <c r="B232" s="4" t="s">
        <v>66</v>
      </c>
      <c r="C232" s="46"/>
      <c r="D232">
        <v>-3.4579084386605848E-2</v>
      </c>
      <c r="E232" s="46"/>
    </row>
    <row r="233" spans="2:13" x14ac:dyDescent="0.25">
      <c r="B233" s="4" t="s">
        <v>67</v>
      </c>
      <c r="C233" s="46"/>
      <c r="E233" s="46"/>
    </row>
    <row r="234" spans="2:13" x14ac:dyDescent="0.25">
      <c r="B234" s="4" t="s">
        <v>68</v>
      </c>
      <c r="C234" s="46"/>
      <c r="E234" s="46"/>
    </row>
    <row r="237" spans="2:13" x14ac:dyDescent="0.25">
      <c r="C237" s="51" t="s">
        <v>7</v>
      </c>
      <c r="D237" s="52"/>
      <c r="E237" s="52"/>
      <c r="F237" s="53"/>
      <c r="J237" s="54" t="s">
        <v>41</v>
      </c>
      <c r="K237" s="54"/>
      <c r="L237" s="54"/>
      <c r="M237" s="54"/>
    </row>
    <row r="238" spans="2:13" x14ac:dyDescent="0.25">
      <c r="C238" s="12">
        <v>1</v>
      </c>
      <c r="D238" s="13">
        <v>2</v>
      </c>
      <c r="E238" s="13">
        <v>3</v>
      </c>
      <c r="F238" s="14">
        <v>4</v>
      </c>
      <c r="G238" s="5"/>
      <c r="H238" s="5"/>
      <c r="I238" s="5"/>
      <c r="J238" s="9">
        <v>1</v>
      </c>
      <c r="K238" s="10">
        <v>2</v>
      </c>
      <c r="L238" s="10">
        <v>3</v>
      </c>
      <c r="M238" s="11">
        <v>4</v>
      </c>
    </row>
    <row r="239" spans="2:13" x14ac:dyDescent="0.25">
      <c r="B239" s="4" t="s">
        <v>33</v>
      </c>
      <c r="C239" s="46" t="s">
        <v>103</v>
      </c>
      <c r="D239" t="s">
        <v>104</v>
      </c>
      <c r="E239" s="46" t="s">
        <v>105</v>
      </c>
      <c r="F239" t="s">
        <v>106</v>
      </c>
      <c r="G239" t="s">
        <v>40</v>
      </c>
      <c r="H239" s="8" t="s">
        <v>0</v>
      </c>
      <c r="I239" s="15" t="s">
        <v>43</v>
      </c>
      <c r="J239" s="16" t="s">
        <v>42</v>
      </c>
      <c r="K239" s="16" t="s">
        <v>42</v>
      </c>
      <c r="L239" s="16" t="s">
        <v>42</v>
      </c>
      <c r="M239" s="17" t="s">
        <v>42</v>
      </c>
    </row>
    <row r="240" spans="2:13" x14ac:dyDescent="0.25">
      <c r="B240" s="4" t="s">
        <v>34</v>
      </c>
      <c r="C240" s="46">
        <v>3</v>
      </c>
      <c r="D240">
        <v>3</v>
      </c>
      <c r="E240" s="46">
        <v>3</v>
      </c>
      <c r="F240">
        <v>3</v>
      </c>
      <c r="H240" s="6">
        <v>0</v>
      </c>
      <c r="I240" s="19">
        <f>retornos!G2</f>
        <v>5.0199999999999995E-2</v>
      </c>
      <c r="J240" s="20" cm="1">
        <f t="array" ref="J240">C245 + MMULT($P$4:$AY$4, IF(C246:C281="", 0, C246:C281))</f>
        <v>4.6106065994929085E-2</v>
      </c>
      <c r="K240" s="20" cm="1">
        <f t="array" ref="K240">D245 + MMULT($P$4:$AY$4, IF(D246:D281="", 0, D246:D281))</f>
        <v>5.9444924004191046E-2</v>
      </c>
      <c r="L240" s="20" cm="1">
        <f t="array" ref="L240">E245 + MMULT($P$4:$AY$4, IF(E246:E281="", 0, E246:E281))</f>
        <v>6.2288665315662795E-2</v>
      </c>
      <c r="M240" s="20" cm="1">
        <f t="array" ref="M240">F245 + MMULT($P$4:$AY$4, IF(F246:F281="", 0, F246:F281))</f>
        <v>5.6509000124092892E-2</v>
      </c>
    </row>
    <row r="241" spans="2:13" x14ac:dyDescent="0.25">
      <c r="B241" s="4" t="s">
        <v>35</v>
      </c>
      <c r="C241" s="46">
        <v>0.99330549075796348</v>
      </c>
      <c r="D241">
        <v>0.97469458648327723</v>
      </c>
      <c r="E241" s="46">
        <v>0.97319592771072849</v>
      </c>
      <c r="F241">
        <v>0.97294704293031153</v>
      </c>
      <c r="H241" s="7">
        <v>1</v>
      </c>
      <c r="I241" s="19">
        <f>retornos!G3</f>
        <v>0.12429999999999999</v>
      </c>
      <c r="J241" s="20" cm="1">
        <f t="array" ref="J241">C245 + MMULT($P$5:$AY$5, IF(C246:C281="", 0, C246:C281))</f>
        <v>0.12982714034372775</v>
      </c>
      <c r="K241" s="20" cm="1">
        <f t="array" ref="K241">D245 + MMULT($P$5:$AY$5, IF(D246:D281="", 0, D246:D281))</f>
        <v>0.11298351134918022</v>
      </c>
      <c r="L241" s="20" cm="1">
        <f t="array" ref="L241">E245 + MMULT($P$5:$AY$5, IF(E246:E281="", 0, E246:E281))</f>
        <v>0.11833049347561653</v>
      </c>
      <c r="M241" s="20" cm="1">
        <f t="array" ref="M241">F245 + MMULT($P$5:$AY$5, IF(F246:F281="", 0, F246:F281))</f>
        <v>0.11110827719170863</v>
      </c>
    </row>
    <row r="242" spans="2:13" x14ac:dyDescent="0.25">
      <c r="B242" s="4" t="s">
        <v>36</v>
      </c>
      <c r="C242" s="46">
        <v>6.0175283338374768E-5</v>
      </c>
      <c r="D242">
        <v>2.274640863592678E-4</v>
      </c>
      <c r="E242" s="46">
        <v>2.4093515839833431E-4</v>
      </c>
      <c r="F242">
        <v>2.4317232196607649E-4</v>
      </c>
      <c r="H242" s="7">
        <v>2</v>
      </c>
      <c r="I242" s="19">
        <f>retornos!G4</f>
        <v>0.1186</v>
      </c>
      <c r="J242" s="20" cm="1">
        <f t="array" ref="J242">C245 + MMULT($P$6:$AY$6, IF(C246:C281="", 0, C246:C281))</f>
        <v>0.11883519739294249</v>
      </c>
      <c r="K242" s="20" cm="1">
        <f t="array" ref="K242">D245 + MMULT($P$6:$AY$6, IF(D246:D281="", 0, D246:D281))</f>
        <v>0.119014291089863</v>
      </c>
      <c r="L242" s="20" cm="1">
        <f t="array" ref="L242">E245 + MMULT($P$6:$AY$6, IF(E246:E281="", 0, E246:E281))</f>
        <v>0.11717969675338646</v>
      </c>
      <c r="M242" s="20" cm="1">
        <f t="array" ref="M242">F245 + MMULT($P$6:$AY$6, IF(F246:F281="", 0, F246:F281))</f>
        <v>0.12059615963666018</v>
      </c>
    </row>
    <row r="243" spans="2:13" x14ac:dyDescent="0.25">
      <c r="B243" s="4" t="s">
        <v>37</v>
      </c>
      <c r="C243" s="46">
        <v>-44.865749734399927</v>
      </c>
      <c r="D243">
        <v>-36.887365705151304</v>
      </c>
      <c r="E243" s="46">
        <v>-36.542152817782529</v>
      </c>
      <c r="F243">
        <v>-36.486697872324797</v>
      </c>
      <c r="H243" s="7">
        <v>3</v>
      </c>
      <c r="I243" s="19">
        <f>retornos!G5</f>
        <v>1.9199999999999998E-2</v>
      </c>
      <c r="J243" s="20" cm="1">
        <f t="array" ref="J243">C245 + MMULT($P$7:$AY$7, IF(C246:C281="", 0, C246:C281))</f>
        <v>2.0046698077913289E-2</v>
      </c>
      <c r="K243" s="20" cm="1">
        <f t="array" ref="K243">D245 + MMULT($P$7:$AY$7, IF(D246:D281="", 0, D246:D281))</f>
        <v>1.7456493508634319E-2</v>
      </c>
      <c r="L243" s="20" cm="1">
        <f t="array" ref="L243">E245 + MMULT($P$7:$AY$7, IF(E246:E281="", 0, E246:E281))</f>
        <v>1.5718087236224143E-2</v>
      </c>
      <c r="M243" s="20" cm="1">
        <f t="array" ref="M243">F245 + MMULT($P$7:$AY$7, IF(F246:F281="", 0, F246:F281))</f>
        <v>1.8275124829690292E-2</v>
      </c>
    </row>
    <row r="244" spans="2:13" x14ac:dyDescent="0.25">
      <c r="B244" s="4" t="s">
        <v>38</v>
      </c>
      <c r="C244" s="46">
        <v>4.0140153566790571E-3</v>
      </c>
      <c r="D244">
        <v>1.5144761206847671E-2</v>
      </c>
      <c r="E244" s="46">
        <v>1.6039258534273581E-2</v>
      </c>
      <c r="F244">
        <v>1.618778297333905E-2</v>
      </c>
      <c r="H244" s="7">
        <v>4</v>
      </c>
      <c r="I244" s="19">
        <f>retornos!G6</f>
        <v>0.2084</v>
      </c>
      <c r="J244" s="20" cm="1">
        <f t="array" ref="J244">C245 + MMULT($P$8:$AY$8, IF(C246:C281="", 0, C246:C281))</f>
        <v>0.20502932068972821</v>
      </c>
      <c r="K244" s="20" cm="1">
        <f t="array" ref="K244">D245 + MMULT($P$8:$AY$8, IF(D246:D281="", 0, D246:D281))</f>
        <v>0.21167176627935519</v>
      </c>
      <c r="L244" s="20" cm="1">
        <f t="array" ref="L244">E245 + MMULT($P$8:$AY$8, IF(E246:E281="", 0, E246:E281))</f>
        <v>0.21249699715512449</v>
      </c>
      <c r="M244" s="20" cm="1">
        <f t="array" ref="M244">F245 + MMULT($P$8:$AY$8, IF(F246:F281="", 0, F246:F281))</f>
        <v>0.20935369012683031</v>
      </c>
    </row>
    <row r="245" spans="2:13" x14ac:dyDescent="0.25">
      <c r="B245" s="4" t="s">
        <v>39</v>
      </c>
      <c r="C245" s="46">
        <v>-0.24553585443095641</v>
      </c>
      <c r="D245">
        <v>-0.31612571046189902</v>
      </c>
      <c r="E245" s="46">
        <v>-0.50826109814704501</v>
      </c>
      <c r="F245">
        <v>0.10277989699907381</v>
      </c>
      <c r="H245" s="7">
        <v>5</v>
      </c>
      <c r="I245" s="19">
        <f>retornos!G7</f>
        <v>0.1363</v>
      </c>
      <c r="J245" s="20" cm="1">
        <f t="array" ref="J245">C245 + MMULT($P$9:$AY$9, IF(C246:C281="", 0, C246:C281))</f>
        <v>0.13715557750072818</v>
      </c>
      <c r="K245" s="20" cm="1">
        <f t="array" ref="K245">D245 + MMULT($P$9:$AY$9, IF(D246:D281="", 0, D246:D281))</f>
        <v>0.13642901376889088</v>
      </c>
      <c r="L245" s="20" cm="1">
        <f t="array" ref="L245">E245 + MMULT($P$9:$AY$9, IF(E246:E281="", 0, E246:E281))</f>
        <v>0.13098606006398406</v>
      </c>
      <c r="M245" s="20" cm="1">
        <f t="array" ref="M245">F245 + MMULT($P$9:$AY$9, IF(F246:F281="", 0, F246:F281))</f>
        <v>0.14115774809101686</v>
      </c>
    </row>
    <row r="246" spans="2:13" x14ac:dyDescent="0.25">
      <c r="B246" s="4" t="s">
        <v>16</v>
      </c>
      <c r="C246" s="46"/>
      <c r="E246" s="46"/>
      <c r="H246" s="7">
        <v>6</v>
      </c>
      <c r="I246" s="19">
        <f>retornos!G8</f>
        <v>0</v>
      </c>
      <c r="J246" s="20" cm="1">
        <f t="array" ref="J246">C245 + MMULT($P$10:$AY$10, IF(C246:C281="", 0, C246:C281))</f>
        <v>-3.9189684238961103E-2</v>
      </c>
      <c r="K246" s="20" cm="1">
        <f t="array" ref="K246">D245 + MMULT($P$10:$AY$10, IF(D246:D281="", 0, D246:D281))</f>
        <v>1.1283450166877143</v>
      </c>
      <c r="L246" s="20" cm="1">
        <f t="array" ref="L246">E245 + MMULT($P$10:$AY$10, IF(E246:E281="", 0, E246:E281))</f>
        <v>1.0013815413693377</v>
      </c>
      <c r="M246" s="20" cm="1">
        <f t="array" ref="M246">F245 + MMULT($P$10:$AY$10, IF(F246:F281="", 0, F246:F281))</f>
        <v>-0.11662470799211055</v>
      </c>
    </row>
    <row r="247" spans="2:13" x14ac:dyDescent="0.25">
      <c r="B247" s="4" t="s">
        <v>13</v>
      </c>
      <c r="C247" s="46"/>
      <c r="E247" s="46">
        <v>7.1318720432838472</v>
      </c>
    </row>
    <row r="248" spans="2:13" x14ac:dyDescent="0.25">
      <c r="B248" s="4" t="s">
        <v>17</v>
      </c>
      <c r="C248" s="46">
        <v>12.05621799725829</v>
      </c>
      <c r="D248">
        <v>79.586771381134824</v>
      </c>
      <c r="E248" s="46"/>
    </row>
    <row r="249" spans="2:13" x14ac:dyDescent="0.25">
      <c r="B249" s="4" t="s">
        <v>14</v>
      </c>
      <c r="C249" s="46"/>
      <c r="E249" s="46"/>
    </row>
    <row r="250" spans="2:13" x14ac:dyDescent="0.25">
      <c r="B250" s="4" t="s">
        <v>15</v>
      </c>
      <c r="C250" s="46"/>
      <c r="E250" s="46"/>
    </row>
    <row r="251" spans="2:13" x14ac:dyDescent="0.25">
      <c r="B251" s="4" t="s">
        <v>21</v>
      </c>
      <c r="C251" s="46"/>
      <c r="D251">
        <v>-59.325111861297877</v>
      </c>
      <c r="E251" s="46"/>
    </row>
    <row r="252" spans="2:13" x14ac:dyDescent="0.25">
      <c r="B252" s="4" t="s">
        <v>22</v>
      </c>
      <c r="C252" s="46"/>
      <c r="E252" s="46"/>
    </row>
    <row r="253" spans="2:13" x14ac:dyDescent="0.25">
      <c r="B253" s="4" t="s">
        <v>23</v>
      </c>
      <c r="C253" s="46"/>
      <c r="E253" s="46"/>
    </row>
    <row r="254" spans="2:13" x14ac:dyDescent="0.25">
      <c r="B254" s="4" t="s">
        <v>18</v>
      </c>
      <c r="C254" s="46">
        <v>1.9135439576030191</v>
      </c>
      <c r="E254" s="46"/>
      <c r="F254">
        <v>3.3387255290734048</v>
      </c>
    </row>
    <row r="255" spans="2:13" x14ac:dyDescent="0.25">
      <c r="B255" s="4" t="s">
        <v>24</v>
      </c>
      <c r="C255" s="46"/>
      <c r="E255" s="46"/>
    </row>
    <row r="256" spans="2:13" x14ac:dyDescent="0.25">
      <c r="B256" s="4" t="s">
        <v>25</v>
      </c>
      <c r="C256" s="46"/>
      <c r="E256" s="46"/>
      <c r="F256">
        <v>0.84877437863610039</v>
      </c>
    </row>
    <row r="257" spans="2:6" x14ac:dyDescent="0.25">
      <c r="B257" s="4" t="s">
        <v>26</v>
      </c>
      <c r="C257" s="46"/>
      <c r="E257" s="46">
        <v>1.5857180170024341</v>
      </c>
    </row>
    <row r="258" spans="2:6" x14ac:dyDescent="0.25">
      <c r="B258" s="4" t="s">
        <v>27</v>
      </c>
      <c r="C258" s="46"/>
      <c r="E258" s="46"/>
    </row>
    <row r="259" spans="2:6" x14ac:dyDescent="0.25">
      <c r="B259" s="4" t="s">
        <v>28</v>
      </c>
      <c r="C259" s="46"/>
      <c r="E259" s="46"/>
    </row>
    <row r="260" spans="2:6" x14ac:dyDescent="0.25">
      <c r="B260" s="4" t="s">
        <v>29</v>
      </c>
      <c r="C260" s="46"/>
      <c r="E260" s="46">
        <v>-1.234776347969226</v>
      </c>
    </row>
    <row r="261" spans="2:6" x14ac:dyDescent="0.25">
      <c r="B261" s="4" t="s">
        <v>30</v>
      </c>
      <c r="C261" s="46"/>
      <c r="E261" s="46"/>
    </row>
    <row r="262" spans="2:6" x14ac:dyDescent="0.25">
      <c r="B262" s="4" t="s">
        <v>31</v>
      </c>
      <c r="C262" s="46"/>
      <c r="E262" s="46"/>
    </row>
    <row r="263" spans="2:6" x14ac:dyDescent="0.25">
      <c r="B263" s="4" t="s">
        <v>32</v>
      </c>
      <c r="C263" s="46">
        <v>8.6803940575773786E-2</v>
      </c>
      <c r="E263" s="46"/>
    </row>
    <row r="264" spans="2:6" x14ac:dyDescent="0.25">
      <c r="B264" s="4" t="s">
        <v>51</v>
      </c>
      <c r="C264" s="46"/>
      <c r="E264" s="46"/>
    </row>
    <row r="265" spans="2:6" x14ac:dyDescent="0.25">
      <c r="B265" s="4" t="s">
        <v>52</v>
      </c>
      <c r="C265" s="46"/>
      <c r="E265" s="46"/>
    </row>
    <row r="266" spans="2:6" x14ac:dyDescent="0.25">
      <c r="B266" s="4" t="s">
        <v>53</v>
      </c>
      <c r="C266" s="46"/>
      <c r="E266" s="46"/>
    </row>
    <row r="267" spans="2:6" x14ac:dyDescent="0.25">
      <c r="B267" s="4" t="s">
        <v>54</v>
      </c>
      <c r="C267" s="46"/>
      <c r="E267" s="46"/>
    </row>
    <row r="268" spans="2:6" x14ac:dyDescent="0.25">
      <c r="B268" s="4" t="s">
        <v>55</v>
      </c>
      <c r="C268" s="46"/>
      <c r="E268" s="46"/>
    </row>
    <row r="269" spans="2:6" x14ac:dyDescent="0.25">
      <c r="B269" s="4" t="s">
        <v>56</v>
      </c>
      <c r="C269" s="46"/>
      <c r="E269" s="46"/>
      <c r="F269">
        <v>-6.5567439435375032</v>
      </c>
    </row>
    <row r="270" spans="2:6" x14ac:dyDescent="0.25">
      <c r="B270" s="4" t="s">
        <v>57</v>
      </c>
      <c r="C270" s="46"/>
      <c r="E270" s="46"/>
    </row>
    <row r="271" spans="2:6" x14ac:dyDescent="0.25">
      <c r="B271" s="4" t="s">
        <v>58</v>
      </c>
      <c r="C271" s="46"/>
      <c r="E271" s="46"/>
    </row>
    <row r="272" spans="2:6" x14ac:dyDescent="0.25">
      <c r="B272" s="4" t="s">
        <v>59</v>
      </c>
      <c r="C272" s="46"/>
      <c r="E272" s="46"/>
    </row>
    <row r="273" spans="2:13" x14ac:dyDescent="0.25">
      <c r="B273" s="4" t="s">
        <v>60</v>
      </c>
      <c r="C273" s="46"/>
      <c r="E273" s="46"/>
    </row>
    <row r="274" spans="2:13" x14ac:dyDescent="0.25">
      <c r="B274" s="4" t="s">
        <v>61</v>
      </c>
      <c r="C274" s="46"/>
      <c r="E274" s="46"/>
    </row>
    <row r="275" spans="2:13" x14ac:dyDescent="0.25">
      <c r="B275" s="4" t="s">
        <v>62</v>
      </c>
      <c r="C275" s="46"/>
      <c r="E275" s="46"/>
    </row>
    <row r="276" spans="2:13" x14ac:dyDescent="0.25">
      <c r="B276" s="4" t="s">
        <v>63</v>
      </c>
      <c r="C276" s="46"/>
      <c r="E276" s="46"/>
    </row>
    <row r="277" spans="2:13" x14ac:dyDescent="0.25">
      <c r="B277" s="4" t="s">
        <v>64</v>
      </c>
      <c r="C277" s="46"/>
      <c r="E277" s="46"/>
    </row>
    <row r="278" spans="2:13" x14ac:dyDescent="0.25">
      <c r="B278" s="4" t="s">
        <v>65</v>
      </c>
      <c r="C278" s="46"/>
      <c r="E278" s="46"/>
    </row>
    <row r="279" spans="2:13" x14ac:dyDescent="0.25">
      <c r="B279" s="4" t="s">
        <v>66</v>
      </c>
      <c r="C279" s="46"/>
      <c r="D279">
        <v>-1.158058583779745E-2</v>
      </c>
      <c r="E279" s="46"/>
    </row>
    <row r="280" spans="2:13" x14ac:dyDescent="0.25">
      <c r="B280" s="4" t="s">
        <v>67</v>
      </c>
      <c r="C280" s="46"/>
      <c r="E280" s="46"/>
    </row>
    <row r="281" spans="2:13" x14ac:dyDescent="0.25">
      <c r="B281" s="4" t="s">
        <v>68</v>
      </c>
      <c r="C281" s="46"/>
      <c r="E281" s="46"/>
    </row>
    <row r="284" spans="2:13" x14ac:dyDescent="0.25">
      <c r="C284" s="51" t="s">
        <v>44</v>
      </c>
      <c r="D284" s="52"/>
      <c r="E284" s="52"/>
      <c r="F284" s="53"/>
      <c r="J284" s="54" t="s">
        <v>41</v>
      </c>
      <c r="K284" s="54"/>
      <c r="L284" s="54"/>
      <c r="M284" s="54"/>
    </row>
    <row r="285" spans="2:13" x14ac:dyDescent="0.25">
      <c r="C285" s="12">
        <v>1</v>
      </c>
      <c r="D285" s="13">
        <v>2</v>
      </c>
      <c r="E285" s="13">
        <v>3</v>
      </c>
      <c r="F285" s="14">
        <v>4</v>
      </c>
      <c r="G285" s="5"/>
      <c r="H285" s="5"/>
      <c r="I285" s="5"/>
      <c r="J285" s="9">
        <v>1</v>
      </c>
      <c r="K285" s="10">
        <v>2</v>
      </c>
      <c r="L285" s="10">
        <v>3</v>
      </c>
      <c r="M285" s="11">
        <v>4</v>
      </c>
    </row>
    <row r="286" spans="2:13" x14ac:dyDescent="0.25">
      <c r="B286" s="4" t="s">
        <v>33</v>
      </c>
      <c r="C286" s="46" t="s">
        <v>85</v>
      </c>
      <c r="D286" s="46" t="s">
        <v>128</v>
      </c>
      <c r="E286" s="46" t="s">
        <v>107</v>
      </c>
      <c r="F286" t="s">
        <v>108</v>
      </c>
      <c r="G286" t="s">
        <v>40</v>
      </c>
      <c r="H286" s="8" t="s">
        <v>0</v>
      </c>
      <c r="I286" s="15" t="s">
        <v>43</v>
      </c>
      <c r="J286" s="47" t="s">
        <v>42</v>
      </c>
      <c r="K286" s="47" t="s">
        <v>42</v>
      </c>
      <c r="L286" s="47" t="s">
        <v>42</v>
      </c>
      <c r="M286" s="48" t="s">
        <v>42</v>
      </c>
    </row>
    <row r="287" spans="2:13" x14ac:dyDescent="0.25">
      <c r="B287" s="4" t="s">
        <v>34</v>
      </c>
      <c r="C287" s="46">
        <v>3</v>
      </c>
      <c r="D287" s="46">
        <v>3</v>
      </c>
      <c r="E287" s="46">
        <v>3</v>
      </c>
      <c r="F287">
        <v>3</v>
      </c>
      <c r="H287" s="6">
        <v>0</v>
      </c>
      <c r="I287" s="19">
        <f>retornos!H2</f>
        <v>4.0599999999999997E-2</v>
      </c>
      <c r="J287" s="49" cm="1">
        <f t="array" ref="J287">C292 + MMULT($P$4:$AY$4, IF(C293:C328="", 0, C293:C328))</f>
        <v>3.6762107574332403E-2</v>
      </c>
      <c r="K287" s="49" cm="1">
        <f t="array" ref="K287">D292 + MMULT($P$4:$AY$4, IF(D293:D328="", 0, D293:D328))</f>
        <v>4.1570718655845162E-2</v>
      </c>
      <c r="L287" s="49" cm="1">
        <f t="array" ref="L287">E292 + MMULT($P$4:$AY$4, IF(E293:E328="", 0, E293:E328))</f>
        <v>3.0816869367409988E-2</v>
      </c>
      <c r="M287" s="49" cm="1">
        <f t="array" ref="M287">F292 + MMULT($P$4:$AY$4, IF(F293:F328="", 0, F293:F328))</f>
        <v>2.728454743863382E-2</v>
      </c>
    </row>
    <row r="288" spans="2:13" x14ac:dyDescent="0.25">
      <c r="B288" s="4" t="s">
        <v>35</v>
      </c>
      <c r="C288" s="46">
        <v>0.99828681399441277</v>
      </c>
      <c r="D288" s="46">
        <v>0.98872461540566059</v>
      </c>
      <c r="E288" s="46">
        <v>0.99140642353123665</v>
      </c>
      <c r="F288">
        <v>0.99131886541506664</v>
      </c>
      <c r="H288" s="7">
        <v>1</v>
      </c>
      <c r="I288" s="19">
        <f>retornos!H3</f>
        <v>-2.6499999999999999E-2</v>
      </c>
      <c r="J288" s="49" cm="1">
        <f t="array" ref="J288">C292 + MMULT($P$5:$AY$5, IF(C293:C328="", 0, C293:C328))</f>
        <v>-2.282615922953668E-2</v>
      </c>
      <c r="K288" s="49" cm="1">
        <f t="array" ref="K288">D292 + MMULT($P$5:$AY$5, IF(D293:D328="", 0, D293:D328))</f>
        <v>-1.5262756651173159E-2</v>
      </c>
      <c r="L288" s="49" cm="1">
        <f t="array" ref="L288">E292 + MMULT($P$5:$AY$5, IF(E293:E328="", 0, E293:E328))</f>
        <v>-1.6299903721217562E-2</v>
      </c>
      <c r="M288" s="49" cm="1">
        <f t="array" ref="M288">F292 + MMULT($P$5:$AY$5, IF(F293:F328="", 0, F293:F328))</f>
        <v>-1.5588664746391066E-2</v>
      </c>
    </row>
    <row r="289" spans="2:13" x14ac:dyDescent="0.25">
      <c r="B289" s="4" t="s">
        <v>36</v>
      </c>
      <c r="C289" s="46">
        <v>6.0905618450133492E-5</v>
      </c>
      <c r="D289" s="46">
        <v>4.0085213732874271E-4</v>
      </c>
      <c r="E289" s="46">
        <v>3.0551095317237582E-4</v>
      </c>
      <c r="F289">
        <v>3.0862373905684567E-4</v>
      </c>
      <c r="H289" s="7">
        <v>2</v>
      </c>
      <c r="I289" s="19">
        <f>retornos!H4</f>
        <v>0.13650000000000001</v>
      </c>
      <c r="J289" s="49" cm="1">
        <f t="array" ref="J289">C292 + MMULT($P$6:$AY$6, IF(C293:C328="", 0, C293:C328))</f>
        <v>0.13274094239598755</v>
      </c>
      <c r="K289" s="49" cm="1">
        <f t="array" ref="K289">D292 + MMULT($P$6:$AY$6, IF(D293:D328="", 0, D293:D328))</f>
        <v>0.13171160145395966</v>
      </c>
      <c r="L289" s="49" cm="1">
        <f t="array" ref="L289">E292 + MMULT($P$6:$AY$6, IF(E293:E328="", 0, E293:E328))</f>
        <v>0.14125617248869096</v>
      </c>
      <c r="M289" s="49" cm="1">
        <f t="array" ref="M289">F292 + MMULT($P$6:$AY$6, IF(F293:F328="", 0, F293:F328))</f>
        <v>0.13552938383060831</v>
      </c>
    </row>
    <row r="290" spans="2:13" x14ac:dyDescent="0.25">
      <c r="B290" s="4" t="s">
        <v>37</v>
      </c>
      <c r="C290" s="46">
        <v>-44.793367323137993</v>
      </c>
      <c r="D290" s="46">
        <v>-33.487764140988958</v>
      </c>
      <c r="E290" s="46">
        <v>-35.117406100383668</v>
      </c>
      <c r="F290">
        <v>-35.056582715926893</v>
      </c>
      <c r="H290" s="7">
        <v>3</v>
      </c>
      <c r="I290" s="19">
        <f>retornos!H5</f>
        <v>0.32939999999999997</v>
      </c>
      <c r="J290" s="49" cm="1">
        <f t="array" ref="J290">C292 + MMULT($P$7:$AY$7, IF(C293:C328="", 0, C293:C328))</f>
        <v>0.33159477306436158</v>
      </c>
      <c r="K290" s="49" cm="1">
        <f t="array" ref="K290">D292 + MMULT($P$7:$AY$7, IF(D293:D328="", 0, D293:D328))</f>
        <v>0.33535142269151796</v>
      </c>
      <c r="L290" s="49" cm="1">
        <f t="array" ref="L290">E292 + MMULT($P$7:$AY$7, IF(E293:E328="", 0, E293:E328))</f>
        <v>0.32830002942341385</v>
      </c>
      <c r="M290" s="49" cm="1">
        <f t="array" ref="M290">F292 + MMULT($P$7:$AY$7, IF(F293:F328="", 0, F293:F328))</f>
        <v>0.33130901617412994</v>
      </c>
    </row>
    <row r="291" spans="2:13" x14ac:dyDescent="0.25">
      <c r="B291" s="4" t="s">
        <v>38</v>
      </c>
      <c r="C291" s="46">
        <v>1.02773548285696E-3</v>
      </c>
      <c r="D291" s="46">
        <v>6.7575969550664073E-3</v>
      </c>
      <c r="E291" s="46">
        <v>5.1517123660613654E-3</v>
      </c>
      <c r="F291">
        <v>5.2041564047714279E-3</v>
      </c>
      <c r="H291" s="7">
        <v>4</v>
      </c>
      <c r="I291" s="19">
        <f>retornos!H6</f>
        <v>0.2631</v>
      </c>
      <c r="J291" s="49" cm="1">
        <f t="array" ref="J291">C292 + MMULT($P$8:$AY$8, IF(C293:C328="", 0, C293:C328))</f>
        <v>0.26149050903675619</v>
      </c>
      <c r="K291" s="49" cm="1">
        <f t="array" ref="K291">D292 + MMULT($P$8:$AY$8, IF(D293:D328="", 0, D293:D328))</f>
        <v>0.26434843333423386</v>
      </c>
      <c r="L291" s="49" cm="1">
        <f t="array" ref="L291">E292 + MMULT($P$8:$AY$8, IF(E293:E328="", 0, E293:E328))</f>
        <v>0.2671310716622507</v>
      </c>
      <c r="M291" s="49" cm="1">
        <f t="array" ref="M291">F292 + MMULT($P$8:$AY$8, IF(F293:F328="", 0, F293:F328))</f>
        <v>0.26201563232842207</v>
      </c>
    </row>
    <row r="292" spans="2:13" x14ac:dyDescent="0.25">
      <c r="B292" s="4" t="s">
        <v>39</v>
      </c>
      <c r="C292" s="46">
        <v>0.71098292434636856</v>
      </c>
      <c r="D292" s="46">
        <v>1.8802721443456121</v>
      </c>
      <c r="E292" s="46">
        <v>-0.21800805674607979</v>
      </c>
      <c r="F292">
        <v>2.728454743863382E-2</v>
      </c>
      <c r="H292" s="7">
        <v>5</v>
      </c>
      <c r="I292" s="19">
        <f>retornos!H7</f>
        <v>0.1216</v>
      </c>
      <c r="J292" s="49" cm="1">
        <f t="array" ref="J292">C292 + MMULT($P$9:$AY$9, IF(C293:C328="", 0, C293:C328))</f>
        <v>0.12493782715809609</v>
      </c>
      <c r="K292" s="49" cm="1">
        <f t="array" ref="K292">D292 + MMULT($P$9:$AY$9, IF(D293:D328="", 0, D293:D328))</f>
        <v>0.10698058051561832</v>
      </c>
      <c r="L292" s="49" cm="1">
        <f t="array" ref="L292">E292 + MMULT($P$9:$AY$9, IF(E293:E328="", 0, E293:E328))</f>
        <v>0.11349576077945087</v>
      </c>
      <c r="M292" s="49" cm="1">
        <f t="array" ref="M292">F292 + MMULT($P$9:$AY$9, IF(F293:F328="", 0, F293:F328))</f>
        <v>0.12415008497459708</v>
      </c>
    </row>
    <row r="293" spans="2:13" x14ac:dyDescent="0.25">
      <c r="B293" s="4" t="s">
        <v>16</v>
      </c>
      <c r="C293" s="46"/>
      <c r="D293" s="46">
        <v>-61.735219188304157</v>
      </c>
      <c r="E293" s="46"/>
      <c r="H293" s="7">
        <v>6</v>
      </c>
      <c r="I293" s="19">
        <f>retornos!H8</f>
        <v>0</v>
      </c>
      <c r="J293" s="49" cm="1">
        <f t="array" ref="J293">C292 + MMULT($P$10:$AY$10, IF(C293:C328="", 0, C293:C328))</f>
        <v>0.36773292223197046</v>
      </c>
      <c r="K293" s="49" cm="1">
        <f t="array" ref="K293">D292 + MMULT($P$10:$AY$10, IF(D293:D328="", 0, D293:D328))</f>
        <v>0.21365929326299149</v>
      </c>
      <c r="L293" s="49" cm="1">
        <f t="array" ref="L293">E292 + MMULT($P$10:$AY$10, IF(E293:E328="", 0, E293:E328))</f>
        <v>-3.8769315697735895E-3</v>
      </c>
      <c r="M293" s="49" cm="1">
        <f t="array" ref="M293">F292 + MMULT($P$10:$AY$10, IF(F293:F328="", 0, F293:F328))</f>
        <v>0.16398024718753379</v>
      </c>
    </row>
    <row r="294" spans="2:13" x14ac:dyDescent="0.25">
      <c r="B294" s="4" t="s">
        <v>13</v>
      </c>
      <c r="C294" s="46"/>
      <c r="D294" s="46"/>
      <c r="E294" s="46"/>
    </row>
    <row r="295" spans="2:13" x14ac:dyDescent="0.25">
      <c r="B295" s="4" t="s">
        <v>17</v>
      </c>
      <c r="C295" s="46"/>
      <c r="D295" s="46"/>
      <c r="E295" s="46"/>
    </row>
    <row r="296" spans="2:13" x14ac:dyDescent="0.25">
      <c r="B296" s="4" t="s">
        <v>14</v>
      </c>
      <c r="C296" s="46"/>
      <c r="D296" s="46"/>
      <c r="E296" s="46"/>
    </row>
    <row r="297" spans="2:13" x14ac:dyDescent="0.25">
      <c r="B297" s="4" t="s">
        <v>15</v>
      </c>
      <c r="C297" s="46"/>
      <c r="D297" s="46"/>
      <c r="E297" s="46"/>
    </row>
    <row r="298" spans="2:13" x14ac:dyDescent="0.25">
      <c r="B298" s="4" t="s">
        <v>21</v>
      </c>
      <c r="C298" s="46"/>
      <c r="D298" s="46"/>
      <c r="E298" s="46"/>
    </row>
    <row r="299" spans="2:13" x14ac:dyDescent="0.25">
      <c r="B299" s="4" t="s">
        <v>22</v>
      </c>
      <c r="C299" s="46"/>
      <c r="D299" s="46">
        <v>-30.199852096184181</v>
      </c>
      <c r="E299" s="46"/>
    </row>
    <row r="300" spans="2:13" x14ac:dyDescent="0.25">
      <c r="B300" s="4" t="s">
        <v>23</v>
      </c>
      <c r="C300" s="46"/>
      <c r="D300" s="46"/>
      <c r="E300" s="46"/>
    </row>
    <row r="301" spans="2:13" x14ac:dyDescent="0.25">
      <c r="B301" s="4" t="s">
        <v>18</v>
      </c>
      <c r="C301" s="46"/>
      <c r="D301" s="46"/>
      <c r="E301" s="46"/>
    </row>
    <row r="302" spans="2:13" x14ac:dyDescent="0.25">
      <c r="B302" s="4" t="s">
        <v>24</v>
      </c>
      <c r="C302" s="46"/>
      <c r="D302" s="46"/>
      <c r="E302" s="46">
        <v>3.3858362978667997E-2</v>
      </c>
    </row>
    <row r="303" spans="2:13" x14ac:dyDescent="0.25">
      <c r="B303" s="4" t="s">
        <v>25</v>
      </c>
      <c r="C303" s="46"/>
      <c r="D303" s="46">
        <v>-5.4204132779762864</v>
      </c>
      <c r="E303" s="46"/>
    </row>
    <row r="304" spans="2:13" x14ac:dyDescent="0.25">
      <c r="B304" s="4" t="s">
        <v>26</v>
      </c>
      <c r="C304" s="46"/>
      <c r="D304" s="46"/>
      <c r="E304" s="46"/>
    </row>
    <row r="305" spans="2:6" x14ac:dyDescent="0.25">
      <c r="B305" s="4" t="s">
        <v>27</v>
      </c>
      <c r="C305" s="46"/>
      <c r="D305" s="46"/>
      <c r="E305" s="46"/>
    </row>
    <row r="306" spans="2:6" x14ac:dyDescent="0.25">
      <c r="B306" s="4" t="s">
        <v>28</v>
      </c>
      <c r="C306" s="46"/>
      <c r="D306" s="46"/>
      <c r="E306" s="46"/>
    </row>
    <row r="307" spans="2:6" x14ac:dyDescent="0.25">
      <c r="B307" s="4" t="s">
        <v>29</v>
      </c>
      <c r="C307" s="46"/>
      <c r="D307" s="46"/>
      <c r="E307" s="46"/>
    </row>
    <row r="308" spans="2:6" x14ac:dyDescent="0.25">
      <c r="B308" s="4" t="s">
        <v>30</v>
      </c>
      <c r="C308" s="46"/>
      <c r="D308" s="46"/>
      <c r="E308" s="46"/>
    </row>
    <row r="309" spans="2:6" x14ac:dyDescent="0.25">
      <c r="B309" s="4" t="s">
        <v>31</v>
      </c>
      <c r="C309" s="46"/>
      <c r="D309" s="46"/>
      <c r="E309" s="46"/>
    </row>
    <row r="310" spans="2:6" x14ac:dyDescent="0.25">
      <c r="B310" s="4" t="s">
        <v>32</v>
      </c>
      <c r="C310" s="46">
        <v>-0.1021513145209184</v>
      </c>
      <c r="D310" s="46"/>
      <c r="E310" s="46">
        <v>-8.1352040088710095E-2</v>
      </c>
      <c r="F310">
        <v>-7.3496935174328384E-2</v>
      </c>
    </row>
    <row r="311" spans="2:6" x14ac:dyDescent="0.25">
      <c r="B311" s="4" t="s">
        <v>51</v>
      </c>
      <c r="C311" s="46"/>
      <c r="D311" s="46"/>
      <c r="E311" s="46"/>
    </row>
    <row r="312" spans="2:6" x14ac:dyDescent="0.25">
      <c r="B312" s="4" t="s">
        <v>52</v>
      </c>
      <c r="C312" s="46"/>
      <c r="D312" s="46"/>
      <c r="E312" s="46"/>
    </row>
    <row r="313" spans="2:6" x14ac:dyDescent="0.25">
      <c r="B313" s="4" t="s">
        <v>53</v>
      </c>
      <c r="C313" s="46"/>
      <c r="D313" s="46"/>
      <c r="E313" s="46"/>
    </row>
    <row r="314" spans="2:6" x14ac:dyDescent="0.25">
      <c r="B314" s="4" t="s">
        <v>54</v>
      </c>
      <c r="C314" s="46"/>
      <c r="D314" s="46"/>
      <c r="E314" s="46"/>
    </row>
    <row r="315" spans="2:6" x14ac:dyDescent="0.25">
      <c r="B315" s="4" t="s">
        <v>55</v>
      </c>
      <c r="C315" s="46">
        <v>-24.079314884715579</v>
      </c>
      <c r="D315" s="46"/>
      <c r="E315" s="46"/>
    </row>
    <row r="316" spans="2:6" x14ac:dyDescent="0.25">
      <c r="B316" s="4" t="s">
        <v>56</v>
      </c>
      <c r="C316" s="46"/>
      <c r="D316" s="46"/>
      <c r="E316" s="46">
        <v>12.137801273828771</v>
      </c>
    </row>
    <row r="317" spans="2:6" x14ac:dyDescent="0.25">
      <c r="B317" s="4" t="s">
        <v>57</v>
      </c>
      <c r="C317" s="46"/>
      <c r="D317" s="46"/>
      <c r="E317" s="46"/>
    </row>
    <row r="318" spans="2:6" x14ac:dyDescent="0.25">
      <c r="B318" s="4" t="s">
        <v>58</v>
      </c>
      <c r="C318" s="46"/>
      <c r="D318" s="46"/>
      <c r="E318" s="46"/>
    </row>
    <row r="319" spans="2:6" x14ac:dyDescent="0.25">
      <c r="B319" s="4" t="s">
        <v>59</v>
      </c>
      <c r="C319" s="46"/>
      <c r="D319" s="46"/>
      <c r="E319" s="46"/>
    </row>
    <row r="320" spans="2:6" x14ac:dyDescent="0.25">
      <c r="B320" s="4" t="s">
        <v>60</v>
      </c>
      <c r="C320" s="46"/>
      <c r="D320" s="46"/>
      <c r="E320" s="46"/>
    </row>
    <row r="321" spans="2:13" x14ac:dyDescent="0.25">
      <c r="B321" s="4" t="s">
        <v>61</v>
      </c>
      <c r="C321" s="46"/>
      <c r="D321" s="46"/>
      <c r="E321" s="46"/>
    </row>
    <row r="322" spans="2:13" x14ac:dyDescent="0.25">
      <c r="B322" s="4" t="s">
        <v>62</v>
      </c>
      <c r="C322" s="46"/>
      <c r="D322" s="46"/>
      <c r="E322" s="46"/>
    </row>
    <row r="323" spans="2:13" x14ac:dyDescent="0.25">
      <c r="B323" s="4" t="s">
        <v>63</v>
      </c>
      <c r="C323" s="46"/>
      <c r="D323" s="46"/>
      <c r="E323" s="46"/>
    </row>
    <row r="324" spans="2:13" x14ac:dyDescent="0.25">
      <c r="B324" s="4" t="s">
        <v>64</v>
      </c>
      <c r="C324" s="46"/>
      <c r="D324" s="46"/>
      <c r="E324" s="46"/>
      <c r="F324">
        <v>-0.1951646548717377</v>
      </c>
    </row>
    <row r="325" spans="2:13" x14ac:dyDescent="0.25">
      <c r="B325" s="4" t="s">
        <v>65</v>
      </c>
      <c r="C325" s="46"/>
      <c r="D325" s="46"/>
      <c r="E325" s="46"/>
    </row>
    <row r="326" spans="2:13" x14ac:dyDescent="0.25">
      <c r="B326" s="4" t="s">
        <v>66</v>
      </c>
      <c r="C326" s="46"/>
      <c r="D326" s="46"/>
      <c r="E326" s="46"/>
    </row>
    <row r="327" spans="2:13" x14ac:dyDescent="0.25">
      <c r="B327" s="4" t="s">
        <v>67</v>
      </c>
      <c r="C327" s="46"/>
      <c r="D327" s="46"/>
      <c r="E327" s="46"/>
    </row>
    <row r="328" spans="2:13" x14ac:dyDescent="0.25">
      <c r="B328" s="4" t="s">
        <v>68</v>
      </c>
      <c r="C328" s="46">
        <v>-0.14375413499217329</v>
      </c>
      <c r="D328" s="46"/>
      <c r="E328" s="46"/>
      <c r="F328">
        <v>-4.6899265170449463E-2</v>
      </c>
    </row>
    <row r="331" spans="2:13" x14ac:dyDescent="0.25">
      <c r="C331" s="51" t="s">
        <v>75</v>
      </c>
      <c r="D331" s="52"/>
      <c r="E331" s="52"/>
      <c r="F331" s="53"/>
      <c r="J331" s="54" t="s">
        <v>41</v>
      </c>
      <c r="K331" s="54"/>
      <c r="L331" s="54"/>
      <c r="M331" s="54"/>
    </row>
    <row r="332" spans="2:13" x14ac:dyDescent="0.25">
      <c r="C332" s="12">
        <v>1</v>
      </c>
      <c r="D332" s="13">
        <v>2</v>
      </c>
      <c r="E332" s="13">
        <v>3</v>
      </c>
      <c r="F332" s="14">
        <v>4</v>
      </c>
      <c r="G332" s="5"/>
      <c r="H332" s="5"/>
      <c r="I332" s="5"/>
      <c r="J332" s="9">
        <v>1</v>
      </c>
      <c r="K332" s="10">
        <v>2</v>
      </c>
      <c r="L332" s="10">
        <v>3</v>
      </c>
      <c r="M332" s="11">
        <v>4</v>
      </c>
    </row>
    <row r="333" spans="2:13" x14ac:dyDescent="0.25">
      <c r="B333" s="4" t="s">
        <v>33</v>
      </c>
      <c r="C333" s="46" t="s">
        <v>109</v>
      </c>
      <c r="D333" t="s">
        <v>110</v>
      </c>
      <c r="E333" s="46" t="s">
        <v>111</v>
      </c>
      <c r="F333" t="s">
        <v>112</v>
      </c>
      <c r="G333" t="s">
        <v>40</v>
      </c>
      <c r="H333" s="8" t="s">
        <v>0</v>
      </c>
      <c r="I333" s="15" t="s">
        <v>43</v>
      </c>
      <c r="J333" s="16" t="s">
        <v>42</v>
      </c>
      <c r="K333" s="16" t="s">
        <v>42</v>
      </c>
      <c r="L333" s="16" t="s">
        <v>42</v>
      </c>
      <c r="M333" s="17" t="s">
        <v>42</v>
      </c>
    </row>
    <row r="334" spans="2:13" x14ac:dyDescent="0.25">
      <c r="B334" s="4" t="s">
        <v>34</v>
      </c>
      <c r="C334" s="46">
        <v>3</v>
      </c>
      <c r="D334">
        <v>3</v>
      </c>
      <c r="E334" s="46">
        <v>3</v>
      </c>
      <c r="F334">
        <v>3</v>
      </c>
      <c r="H334" s="6">
        <v>0</v>
      </c>
      <c r="I334" s="19">
        <f>retornos!I2</f>
        <v>2.98E-2</v>
      </c>
      <c r="J334" s="20" cm="1">
        <f t="array" ref="J334">C339 + MMULT($P$4:$AY$4, IF(C340:C375="", 0, C340:C375))</f>
        <v>2.9671839641218306E-2</v>
      </c>
      <c r="K334" s="20" cm="1">
        <f t="array" ref="K334">D339 + MMULT($P$4:$AY$4, IF(D340:D375="", 0, D340:D375))</f>
        <v>2.9614179816249343E-2</v>
      </c>
      <c r="L334" s="20" cm="1">
        <f t="array" ref="L334">E339 + MMULT($P$4:$AY$4, IF(E340:E375="", 0, E340:E375))</f>
        <v>2.990202280938508E-2</v>
      </c>
      <c r="M334" s="20" cm="1">
        <f t="array" ref="M334">F339 + MMULT($P$4:$AY$4, IF(F340:F375="", 0, F340:F375))</f>
        <v>2.9725155163613379E-2</v>
      </c>
    </row>
    <row r="335" spans="2:13" x14ac:dyDescent="0.25">
      <c r="B335" s="4" t="s">
        <v>35</v>
      </c>
      <c r="C335" s="46">
        <v>0.9998423464301317</v>
      </c>
      <c r="D335">
        <v>0.99977550311783925</v>
      </c>
      <c r="E335" s="46">
        <v>0.99967365339458936</v>
      </c>
      <c r="F335">
        <v>0.99955207071502872</v>
      </c>
      <c r="H335" s="7">
        <v>1</v>
      </c>
      <c r="I335" s="19">
        <f>retornos!I3</f>
        <v>2.86E-2</v>
      </c>
      <c r="J335" s="20" cm="1">
        <f t="array" ref="J335">C339 + MMULT($P$5:$AY$5, IF(C340:C375="", 0, C340:C375))</f>
        <v>2.864730912736075E-2</v>
      </c>
      <c r="K335" s="20" cm="1">
        <f t="array" ref="K335">D339 + MMULT($P$5:$AY$5, IF(D340:D375="", 0, D340:D375))</f>
        <v>2.8745683405688727E-2</v>
      </c>
      <c r="L335" s="20" cm="1">
        <f t="array" ref="L335">E339 + MMULT($P$5:$AY$5, IF(E340:E375="", 0, E340:E375))</f>
        <v>2.8397069276056407E-2</v>
      </c>
      <c r="M335" s="20" cm="1">
        <f t="array" ref="M335">F339 + MMULT($P$5:$AY$5, IF(F340:F375="", 0, F340:F375))</f>
        <v>2.8832025488677672E-2</v>
      </c>
    </row>
    <row r="336" spans="2:13" x14ac:dyDescent="0.25">
      <c r="B336" s="4" t="s">
        <v>36</v>
      </c>
      <c r="C336" s="46">
        <v>4.2581178197609319E-8</v>
      </c>
      <c r="D336">
        <v>6.0635111225770722E-8</v>
      </c>
      <c r="E336" s="46">
        <v>8.8144042477388251E-8</v>
      </c>
      <c r="F336">
        <v>1.2098271367552941E-7</v>
      </c>
      <c r="H336" s="7">
        <v>2</v>
      </c>
      <c r="I336" s="19">
        <f>retornos!I4</f>
        <v>4.6600000000000003E-2</v>
      </c>
      <c r="J336" s="20" cm="1">
        <f t="array" ref="J336">C339 + MMULT($P$6:$AY$6, IF(C340:C375="", 0, C340:C375))</f>
        <v>4.6654348573336391E-2</v>
      </c>
      <c r="K336" s="20" cm="1">
        <f t="array" ref="K336">D339 + MMULT($P$6:$AY$6, IF(D340:D375="", 0, D340:D375))</f>
        <v>4.6609582829606935E-2</v>
      </c>
      <c r="L336" s="20" cm="1">
        <f t="array" ref="L336">E339 + MMULT($P$6:$AY$6, IF(E340:E375="", 0, E340:E375))</f>
        <v>4.664164534328312E-2</v>
      </c>
      <c r="M336" s="20" cm="1">
        <f t="array" ref="M336">F339 + MMULT($P$6:$AY$6, IF(F340:F375="", 0, F340:F375))</f>
        <v>4.6528605418937857E-2</v>
      </c>
    </row>
    <row r="337" spans="2:13" x14ac:dyDescent="0.25">
      <c r="B337" s="4" t="s">
        <v>37</v>
      </c>
      <c r="C337" s="46">
        <v>-88.387377585913868</v>
      </c>
      <c r="D337">
        <v>-86.266606850940178</v>
      </c>
      <c r="E337" s="46">
        <v>-84.022017625842949</v>
      </c>
      <c r="F337">
        <v>-82.121965522446942</v>
      </c>
      <c r="H337" s="7">
        <v>3</v>
      </c>
      <c r="I337" s="19">
        <f>retornos!I5</f>
        <v>4.7400000000000005E-2</v>
      </c>
      <c r="J337" s="20" cm="1">
        <f t="array" ref="J337">C339 + MMULT($P$7:$AY$7, IF(C340:C375="", 0, C340:C375))</f>
        <v>4.7400427915348702E-2</v>
      </c>
      <c r="K337" s="20" cm="1">
        <f t="array" ref="K337">D339 + MMULT($P$7:$AY$7, IF(D340:D375="", 0, D340:D375))</f>
        <v>4.7420237795255796E-2</v>
      </c>
      <c r="L337" s="20" cm="1">
        <f t="array" ref="L337">E339 + MMULT($P$7:$AY$7, IF(E340:E375="", 0, E340:E375))</f>
        <v>4.7412754831656828E-2</v>
      </c>
      <c r="M337" s="20" cm="1">
        <f t="array" ref="M337">F339 + MMULT($P$7:$AY$7, IF(F340:F375="", 0, F340:F375))</f>
        <v>4.7382683374434437E-2</v>
      </c>
    </row>
    <row r="338" spans="2:13" x14ac:dyDescent="0.25">
      <c r="B338" s="4" t="s">
        <v>38</v>
      </c>
      <c r="C338" s="46">
        <v>9.4590650626377265E-5</v>
      </c>
      <c r="D338">
        <v>1.346951053202587E-4</v>
      </c>
      <c r="E338" s="46">
        <v>1.9580157298096211E-4</v>
      </c>
      <c r="F338">
        <v>2.6874553218463629E-4</v>
      </c>
      <c r="H338" s="7">
        <v>4</v>
      </c>
      <c r="I338" s="19">
        <f>retornos!I6</f>
        <v>2.58E-2</v>
      </c>
      <c r="J338" s="20" cm="1">
        <f t="array" ref="J338">C339 + MMULT($P$8:$AY$8, IF(C340:C375="", 0, C340:C375))</f>
        <v>2.5711489228934816E-2</v>
      </c>
      <c r="K338" s="20" cm="1">
        <f t="array" ref="K338">D339 + MMULT($P$8:$AY$8, IF(D340:D375="", 0, D340:D375))</f>
        <v>2.5758640846700313E-2</v>
      </c>
      <c r="L338" s="20" cm="1">
        <f t="array" ref="L338">E339 + MMULT($P$8:$AY$8, IF(E340:E375="", 0, E340:E375))</f>
        <v>2.5693685345752868E-2</v>
      </c>
      <c r="M338" s="20" cm="1">
        <f t="array" ref="M338">F339 + MMULT($P$8:$AY$8, IF(F340:F375="", 0, F340:F375))</f>
        <v>2.5929783648890554E-2</v>
      </c>
    </row>
    <row r="339" spans="2:13" x14ac:dyDescent="0.25">
      <c r="B339" s="4" t="s">
        <v>39</v>
      </c>
      <c r="C339" s="46">
        <v>-4.6044089255895607E-3</v>
      </c>
      <c r="D339">
        <v>-8.1203648086634675E-3</v>
      </c>
      <c r="E339" s="46">
        <v>2.7285384482450391E-2</v>
      </c>
      <c r="F339">
        <v>2.495833522010811E-2</v>
      </c>
      <c r="H339" s="7">
        <v>5</v>
      </c>
      <c r="I339" s="19">
        <f>retornos!I7</f>
        <v>1.8799999999999997E-2</v>
      </c>
      <c r="J339" s="20" cm="1">
        <f t="array" ref="J339">C339 + MMULT($P$9:$AY$9, IF(C340:C375="", 0, C340:C375))</f>
        <v>1.891458551380136E-2</v>
      </c>
      <c r="K339" s="20" cm="1">
        <f t="array" ref="K339">D339 + MMULT($P$9:$AY$9, IF(D340:D375="", 0, D340:D375))</f>
        <v>1.8851675306499508E-2</v>
      </c>
      <c r="L339" s="20" cm="1">
        <f t="array" ref="L339">E339 + MMULT($P$9:$AY$9, IF(E340:E375="", 0, E340:E375))</f>
        <v>1.8952822393865698E-2</v>
      </c>
      <c r="M339" s="20" cm="1">
        <f t="array" ref="M339">F339 + MMULT($P$9:$AY$9, IF(F340:F375="", 0, F340:F375))</f>
        <v>1.8601746905445804E-2</v>
      </c>
    </row>
    <row r="340" spans="2:13" x14ac:dyDescent="0.25">
      <c r="B340" s="4" t="s">
        <v>16</v>
      </c>
      <c r="C340" s="46"/>
      <c r="E340" s="46"/>
      <c r="H340" s="7">
        <v>6</v>
      </c>
      <c r="I340" s="19">
        <f>retornos!I8</f>
        <v>0</v>
      </c>
      <c r="J340" s="20" cm="1">
        <f t="array" ref="J340">C339 + MMULT($P$10:$AY$10, IF(C340:C375="", 0, C340:C375))</f>
        <v>2.2560937317312717E-2</v>
      </c>
      <c r="K340" s="20" cm="1">
        <f t="array" ref="K340">D339 + MMULT($P$10:$AY$10, IF(D340:D375="", 0, D340:D375))</f>
        <v>1.9030568589757709E-3</v>
      </c>
      <c r="L340" s="20" cm="1">
        <f t="array" ref="L340">E339 + MMULT($P$10:$AY$10, IF(E340:E375="", 0, E340:E375))</f>
        <v>3.2863354625622371E-2</v>
      </c>
      <c r="M340" s="20" cm="1">
        <f t="array" ref="M340">F339 + MMULT($P$10:$AY$10, IF(F340:F375="", 0, F340:F375))</f>
        <v>2.5654107855233411E-2</v>
      </c>
    </row>
    <row r="341" spans="2:13" x14ac:dyDescent="0.25">
      <c r="B341" s="4" t="s">
        <v>13</v>
      </c>
      <c r="C341" s="46">
        <v>0.4533215422968111</v>
      </c>
      <c r="E341" s="46"/>
    </row>
    <row r="342" spans="2:13" x14ac:dyDescent="0.25">
      <c r="B342" s="4" t="s">
        <v>17</v>
      </c>
      <c r="C342" s="46"/>
      <c r="E342" s="46"/>
    </row>
    <row r="343" spans="2:13" x14ac:dyDescent="0.25">
      <c r="B343" s="4" t="s">
        <v>14</v>
      </c>
      <c r="C343" s="46"/>
      <c r="E343" s="46"/>
    </row>
    <row r="344" spans="2:13" x14ac:dyDescent="0.25">
      <c r="B344" s="4" t="s">
        <v>15</v>
      </c>
      <c r="C344" s="46"/>
      <c r="E344" s="46"/>
    </row>
    <row r="345" spans="2:13" x14ac:dyDescent="0.25">
      <c r="B345" s="4" t="s">
        <v>21</v>
      </c>
      <c r="C345" s="46"/>
      <c r="D345">
        <v>1.1499352976055739</v>
      </c>
      <c r="E345" s="46">
        <v>0.242202600890598</v>
      </c>
    </row>
    <row r="346" spans="2:13" x14ac:dyDescent="0.25">
      <c r="B346" s="4" t="s">
        <v>22</v>
      </c>
      <c r="C346" s="46"/>
      <c r="E346" s="46"/>
    </row>
    <row r="347" spans="2:13" x14ac:dyDescent="0.25">
      <c r="B347" s="4" t="s">
        <v>23</v>
      </c>
      <c r="C347" s="46"/>
      <c r="E347" s="46"/>
      <c r="F347">
        <v>0.32038732342852733</v>
      </c>
    </row>
    <row r="348" spans="2:13" x14ac:dyDescent="0.25">
      <c r="B348" s="4" t="s">
        <v>18</v>
      </c>
      <c r="C348" s="46">
        <v>-7.535889458094791E-2</v>
      </c>
      <c r="E348" s="46">
        <v>-8.8958901186460992E-2</v>
      </c>
      <c r="F348">
        <v>-6.2156307767624208E-2</v>
      </c>
    </row>
    <row r="349" spans="2:13" x14ac:dyDescent="0.25">
      <c r="B349" s="4" t="s">
        <v>24</v>
      </c>
      <c r="C349" s="46"/>
      <c r="E349" s="46">
        <v>-1.388515461187493E-3</v>
      </c>
    </row>
    <row r="350" spans="2:13" x14ac:dyDescent="0.25">
      <c r="B350" s="4" t="s">
        <v>25</v>
      </c>
      <c r="C350" s="46"/>
      <c r="E350" s="46"/>
    </row>
    <row r="351" spans="2:13" x14ac:dyDescent="0.25">
      <c r="B351" s="4" t="s">
        <v>26</v>
      </c>
      <c r="C351" s="46"/>
      <c r="D351">
        <v>-1.9568584117189189E-2</v>
      </c>
      <c r="E351" s="46"/>
    </row>
    <row r="352" spans="2:13" x14ac:dyDescent="0.25">
      <c r="B352" s="4" t="s">
        <v>27</v>
      </c>
      <c r="C352" s="46"/>
      <c r="E352" s="46"/>
    </row>
    <row r="353" spans="2:5" x14ac:dyDescent="0.25">
      <c r="B353" s="4" t="s">
        <v>28</v>
      </c>
      <c r="C353" s="46"/>
      <c r="E353" s="46"/>
    </row>
    <row r="354" spans="2:5" x14ac:dyDescent="0.25">
      <c r="B354" s="4" t="s">
        <v>29</v>
      </c>
      <c r="C354" s="46"/>
      <c r="E354" s="46"/>
    </row>
    <row r="355" spans="2:5" x14ac:dyDescent="0.25">
      <c r="B355" s="4" t="s">
        <v>30</v>
      </c>
      <c r="C355" s="46"/>
      <c r="E355" s="46"/>
    </row>
    <row r="356" spans="2:5" x14ac:dyDescent="0.25">
      <c r="B356" s="4" t="s">
        <v>31</v>
      </c>
      <c r="C356" s="46"/>
      <c r="E356" s="46"/>
    </row>
    <row r="357" spans="2:5" x14ac:dyDescent="0.25">
      <c r="B357" s="4" t="s">
        <v>32</v>
      </c>
      <c r="C357" s="46"/>
      <c r="E357" s="46"/>
    </row>
    <row r="358" spans="2:5" x14ac:dyDescent="0.25">
      <c r="B358" s="4" t="s">
        <v>51</v>
      </c>
      <c r="C358" s="46"/>
      <c r="E358" s="46"/>
    </row>
    <row r="359" spans="2:5" x14ac:dyDescent="0.25">
      <c r="B359" s="4" t="s">
        <v>52</v>
      </c>
      <c r="C359" s="46"/>
      <c r="E359" s="46"/>
    </row>
    <row r="360" spans="2:5" x14ac:dyDescent="0.25">
      <c r="B360" s="4" t="s">
        <v>53</v>
      </c>
      <c r="C360" s="46"/>
      <c r="E360" s="46"/>
    </row>
    <row r="361" spans="2:5" x14ac:dyDescent="0.25">
      <c r="B361" s="4" t="s">
        <v>54</v>
      </c>
      <c r="C361" s="46"/>
      <c r="E361" s="46"/>
    </row>
    <row r="362" spans="2:5" x14ac:dyDescent="0.25">
      <c r="B362" s="4" t="s">
        <v>55</v>
      </c>
      <c r="C362" s="46"/>
      <c r="E362" s="46"/>
    </row>
    <row r="363" spans="2:5" x14ac:dyDescent="0.25">
      <c r="B363" s="4" t="s">
        <v>56</v>
      </c>
      <c r="C363" s="46"/>
      <c r="E363" s="46"/>
    </row>
    <row r="364" spans="2:5" x14ac:dyDescent="0.25">
      <c r="B364" s="4" t="s">
        <v>57</v>
      </c>
      <c r="C364" s="46"/>
      <c r="D364">
        <v>0.70804355119992746</v>
      </c>
      <c r="E364" s="46"/>
    </row>
    <row r="365" spans="2:5" x14ac:dyDescent="0.25">
      <c r="B365" s="4" t="s">
        <v>58</v>
      </c>
      <c r="C365" s="46"/>
      <c r="E365" s="46"/>
    </row>
    <row r="366" spans="2:5" x14ac:dyDescent="0.25">
      <c r="B366" s="4" t="s">
        <v>59</v>
      </c>
      <c r="C366" s="46"/>
      <c r="E366" s="46"/>
    </row>
    <row r="367" spans="2:5" x14ac:dyDescent="0.25">
      <c r="B367" s="4" t="s">
        <v>60</v>
      </c>
      <c r="C367" s="46"/>
      <c r="E367" s="46"/>
    </row>
    <row r="368" spans="2:5" x14ac:dyDescent="0.25">
      <c r="B368" s="4" t="s">
        <v>61</v>
      </c>
      <c r="C368" s="46"/>
      <c r="E368" s="46"/>
    </row>
    <row r="369" spans="2:13" x14ac:dyDescent="0.25">
      <c r="B369" s="4" t="s">
        <v>62</v>
      </c>
      <c r="C369" s="46">
        <v>1.53098151382131E-2</v>
      </c>
      <c r="E369" s="46"/>
    </row>
    <row r="370" spans="2:13" x14ac:dyDescent="0.25">
      <c r="B370" s="4" t="s">
        <v>63</v>
      </c>
      <c r="C370" s="46"/>
      <c r="E370" s="46"/>
    </row>
    <row r="371" spans="2:13" x14ac:dyDescent="0.25">
      <c r="B371" s="4" t="s">
        <v>64</v>
      </c>
      <c r="C371" s="46"/>
      <c r="E371" s="46"/>
    </row>
    <row r="372" spans="2:13" x14ac:dyDescent="0.25">
      <c r="B372" s="4" t="s">
        <v>65</v>
      </c>
      <c r="C372" s="46"/>
      <c r="E372" s="46"/>
      <c r="F372">
        <v>9.0418585809731826E-3</v>
      </c>
    </row>
    <row r="373" spans="2:13" x14ac:dyDescent="0.25">
      <c r="B373" s="4" t="s">
        <v>66</v>
      </c>
      <c r="C373" s="46"/>
      <c r="E373" s="46"/>
    </row>
    <row r="374" spans="2:13" x14ac:dyDescent="0.25">
      <c r="B374" s="4" t="s">
        <v>67</v>
      </c>
      <c r="C374" s="46"/>
      <c r="E374" s="46"/>
    </row>
    <row r="375" spans="2:13" x14ac:dyDescent="0.25">
      <c r="B375" s="4" t="s">
        <v>68</v>
      </c>
      <c r="C375" s="46"/>
      <c r="E375" s="46"/>
    </row>
    <row r="378" spans="2:13" x14ac:dyDescent="0.25">
      <c r="C378" s="51" t="s">
        <v>76</v>
      </c>
      <c r="D378" s="52"/>
      <c r="E378" s="52"/>
      <c r="F378" s="53"/>
      <c r="J378" s="54" t="s">
        <v>41</v>
      </c>
      <c r="K378" s="54"/>
      <c r="L378" s="54"/>
      <c r="M378" s="54"/>
    </row>
    <row r="379" spans="2:13" x14ac:dyDescent="0.25">
      <c r="C379" s="12">
        <v>1</v>
      </c>
      <c r="D379" s="13">
        <v>2</v>
      </c>
      <c r="E379" s="13">
        <v>3</v>
      </c>
      <c r="F379" s="14">
        <v>4</v>
      </c>
      <c r="G379" s="5"/>
      <c r="H379" s="5"/>
      <c r="I379" s="5"/>
      <c r="J379" s="9">
        <v>1</v>
      </c>
      <c r="K379" s="10">
        <v>2</v>
      </c>
      <c r="L379" s="10">
        <v>3</v>
      </c>
      <c r="M379" s="11">
        <v>4</v>
      </c>
    </row>
    <row r="380" spans="2:13" x14ac:dyDescent="0.25">
      <c r="B380" s="4" t="s">
        <v>33</v>
      </c>
      <c r="C380" s="46" t="s">
        <v>113</v>
      </c>
      <c r="D380" t="s">
        <v>114</v>
      </c>
      <c r="E380" s="46" t="s">
        <v>115</v>
      </c>
      <c r="F380" t="s">
        <v>116</v>
      </c>
      <c r="G380" t="s">
        <v>40</v>
      </c>
      <c r="H380" s="8" t="s">
        <v>0</v>
      </c>
      <c r="I380" s="15" t="s">
        <v>43</v>
      </c>
      <c r="J380" s="16" t="s">
        <v>42</v>
      </c>
      <c r="K380" s="16" t="s">
        <v>42</v>
      </c>
      <c r="L380" s="16" t="s">
        <v>42</v>
      </c>
      <c r="M380" s="17" t="s">
        <v>42</v>
      </c>
    </row>
    <row r="381" spans="2:13" x14ac:dyDescent="0.25">
      <c r="B381" s="4" t="s">
        <v>34</v>
      </c>
      <c r="C381" s="46">
        <v>3</v>
      </c>
      <c r="D381">
        <v>3</v>
      </c>
      <c r="E381" s="46">
        <v>3</v>
      </c>
      <c r="F381">
        <v>3</v>
      </c>
      <c r="H381" s="6">
        <v>0</v>
      </c>
      <c r="I381" s="19">
        <f>retornos!J2</f>
        <v>3.1099999999999999E-2</v>
      </c>
      <c r="J381" s="20" cm="1">
        <f t="array" ref="J381">C386 + MMULT($P$4:$AY$4, IF(C387:C422="", 0, C387:C422))</f>
        <v>3.0793231131919757E-2</v>
      </c>
      <c r="K381" s="20" cm="1">
        <f t="array" ref="K381">D386 + MMULT($P$4:$AY$4, IF(D387:D422="", 0, D387:D422))</f>
        <v>3.1036200635350383E-2</v>
      </c>
      <c r="L381" s="20" cm="1">
        <f t="array" ref="L381">E386 + MMULT($P$4:$AY$4, IF(E387:E422="", 0, E387:E422))</f>
        <v>3.0734650040131765E-2</v>
      </c>
      <c r="M381" s="20" cm="1">
        <f t="array" ref="M381">F386 + MMULT($P$4:$AY$4, IF(F387:F422="", 0, F387:F422))</f>
        <v>3.1415061082532475E-2</v>
      </c>
    </row>
    <row r="382" spans="2:13" x14ac:dyDescent="0.25">
      <c r="B382" s="4" t="s">
        <v>35</v>
      </c>
      <c r="C382" s="46">
        <v>0.99938039103544085</v>
      </c>
      <c r="D382">
        <v>0.99886643769243211</v>
      </c>
      <c r="E382" s="46">
        <v>0.99859097338861635</v>
      </c>
      <c r="F382">
        <v>0.99855385315717382</v>
      </c>
      <c r="H382" s="7">
        <v>1</v>
      </c>
      <c r="I382" s="19">
        <f>retornos!J3</f>
        <v>2.8999999999999998E-2</v>
      </c>
      <c r="J382" s="20" cm="1">
        <f t="array" ref="J382">C386 + MMULT($P$5:$AY$5, IF(C387:C422="", 0, C387:C422))</f>
        <v>2.9177029242545727E-2</v>
      </c>
      <c r="K382" s="20" cm="1">
        <f t="array" ref="K382">D386 + MMULT($P$5:$AY$5, IF(D387:D422="", 0, D387:D422))</f>
        <v>2.9341393045549918E-2</v>
      </c>
      <c r="L382" s="20" cm="1">
        <f t="array" ref="L382">E386 + MMULT($P$5:$AY$5, IF(E387:E422="", 0, E387:E422))</f>
        <v>2.9091677201045267E-2</v>
      </c>
      <c r="M382" s="20" cm="1">
        <f t="array" ref="M382">F386 + MMULT($P$5:$AY$5, IF(F387:F422="", 0, F387:F422))</f>
        <v>2.8547479684034538E-2</v>
      </c>
    </row>
    <row r="383" spans="2:13" x14ac:dyDescent="0.25">
      <c r="B383" s="4" t="s">
        <v>36</v>
      </c>
      <c r="C383" s="46">
        <v>1.4586916858181181E-7</v>
      </c>
      <c r="D383">
        <v>2.6686474986404848E-7</v>
      </c>
      <c r="E383" s="46">
        <v>3.3171492355408551E-7</v>
      </c>
      <c r="F383">
        <v>3.4045381793391871E-7</v>
      </c>
      <c r="H383" s="7">
        <v>2</v>
      </c>
      <c r="I383" s="19">
        <f>retornos!J4</f>
        <v>2.6600000000000002E-2</v>
      </c>
      <c r="J383" s="20" cm="1">
        <f t="array" ref="J383">C386 + MMULT($P$6:$AY$6, IF(C387:C422="", 0, C387:C422))</f>
        <v>2.6631903321183259E-2</v>
      </c>
      <c r="K383" s="20" cm="1">
        <f t="array" ref="K383">D386 + MMULT($P$6:$AY$6, IF(D387:D422="", 0, D387:D422))</f>
        <v>2.6485982710725414E-2</v>
      </c>
      <c r="L383" s="20" cm="1">
        <f t="array" ref="L383">E386 + MMULT($P$6:$AY$6, IF(E387:E422="", 0, E387:E422))</f>
        <v>2.6469904452960574E-2</v>
      </c>
      <c r="M383" s="20" cm="1">
        <f t="array" ref="M383">F386 + MMULT($P$6:$AY$6, IF(F387:F422="", 0, F387:F422))</f>
        <v>2.6642096153028205E-2</v>
      </c>
    </row>
    <row r="384" spans="2:13" x14ac:dyDescent="0.25">
      <c r="B384" s="4" t="s">
        <v>37</v>
      </c>
      <c r="C384" s="46">
        <v>-80.999590875508545</v>
      </c>
      <c r="D384">
        <v>-77.375399710228209</v>
      </c>
      <c r="E384" s="46">
        <v>-76.070195945320449</v>
      </c>
      <c r="F384">
        <v>-75.914174644232816</v>
      </c>
      <c r="H384" s="7">
        <v>3</v>
      </c>
      <c r="I384" s="19">
        <f>retornos!J5</f>
        <v>4.7400000000000005E-2</v>
      </c>
      <c r="J384" s="20" cm="1">
        <f t="array" ref="J384">C386 + MMULT($P$7:$AY$7, IF(C387:C422="", 0, C387:C422))</f>
        <v>4.7329024505396222E-2</v>
      </c>
      <c r="K384" s="20" cm="1">
        <f t="array" ref="K384">D386 + MMULT($P$7:$AY$7, IF(D387:D422="", 0, D387:D422))</f>
        <v>4.763329902085861E-2</v>
      </c>
      <c r="L384" s="20" cm="1">
        <f t="array" ref="L384">E386 + MMULT($P$7:$AY$7, IF(E387:E422="", 0, E387:E422))</f>
        <v>4.7478305631085196E-2</v>
      </c>
      <c r="M384" s="20" cm="1">
        <f t="array" ref="M384">F386 + MMULT($P$7:$AY$7, IF(F387:F422="", 0, F387:F422))</f>
        <v>4.7309363274207678E-2</v>
      </c>
    </row>
    <row r="385" spans="2:13" x14ac:dyDescent="0.25">
      <c r="B385" s="4" t="s">
        <v>38</v>
      </c>
      <c r="C385" s="46">
        <v>3.7174234286778168E-4</v>
      </c>
      <c r="D385">
        <v>6.8006028090310472E-4</v>
      </c>
      <c r="E385" s="46">
        <v>8.4529683427864665E-4</v>
      </c>
      <c r="F385">
        <v>8.6756261315405097E-4</v>
      </c>
      <c r="H385" s="7">
        <v>4</v>
      </c>
      <c r="I385" s="19">
        <f>retornos!J6</f>
        <v>5.2199999999999996E-2</v>
      </c>
      <c r="J385" s="20" cm="1">
        <f t="array" ref="J385">C386 + MMULT($P$8:$AY$8, IF(C387:C422="", 0, C387:C422))</f>
        <v>5.2276704504392896E-2</v>
      </c>
      <c r="K385" s="20" cm="1">
        <f t="array" ref="K385">D386 + MMULT($P$8:$AY$8, IF(D387:D422="", 0, D387:D422))</f>
        <v>5.2007119157989917E-2</v>
      </c>
      <c r="L385" s="20" cm="1">
        <f t="array" ref="L385">E386 + MMULT($P$8:$AY$8, IF(E387:E422="", 0, E387:E422))</f>
        <v>5.2124183625568511E-2</v>
      </c>
      <c r="M385" s="20" cm="1">
        <f t="array" ref="M385">F386 + MMULT($P$8:$AY$8, IF(F387:F422="", 0, F387:F422))</f>
        <v>5.2225432789311882E-2</v>
      </c>
    </row>
    <row r="386" spans="2:13" x14ac:dyDescent="0.25">
      <c r="B386" s="4" t="s">
        <v>39</v>
      </c>
      <c r="C386" s="46">
        <v>0.21358980628208521</v>
      </c>
      <c r="D386">
        <v>8.8299653818776802E-2</v>
      </c>
      <c r="E386" s="46">
        <v>2.030780881218721E-2</v>
      </c>
      <c r="F386">
        <v>0.26408904048878767</v>
      </c>
      <c r="H386" s="7">
        <v>5</v>
      </c>
      <c r="I386" s="19">
        <f>retornos!J7</f>
        <v>3.0099999999999998E-2</v>
      </c>
      <c r="J386" s="20" cm="1">
        <f t="array" ref="J386">C386 + MMULT($P$9:$AY$9, IF(C387:C422="", 0, C387:C422))</f>
        <v>3.0192107294560899E-2</v>
      </c>
      <c r="K386" s="20" cm="1">
        <f t="array" ref="K386">D386 + MMULT($P$9:$AY$9, IF(D387:D422="", 0, D387:D422))</f>
        <v>2.9896005429526001E-2</v>
      </c>
      <c r="L386" s="20" cm="1">
        <f t="array" ref="L386">E386 + MMULT($P$9:$AY$9, IF(E387:E422="", 0, E387:E422))</f>
        <v>3.0501279049211138E-2</v>
      </c>
      <c r="M386" s="20" cm="1">
        <f t="array" ref="M386">F386 + MMULT($P$9:$AY$9, IF(F387:F422="", 0, F387:F422))</f>
        <v>3.0260567016885703E-2</v>
      </c>
    </row>
    <row r="387" spans="2:13" x14ac:dyDescent="0.25">
      <c r="B387" s="4" t="s">
        <v>16</v>
      </c>
      <c r="C387" s="46"/>
      <c r="E387" s="46"/>
      <c r="H387" s="7">
        <v>6</v>
      </c>
      <c r="I387" s="19">
        <f>retornos!J8</f>
        <v>0</v>
      </c>
      <c r="J387" s="20" cm="1">
        <f t="array" ref="J387">C386 + MMULT($P$10:$AY$10, IF(C387:C422="", 0, C387:C422))</f>
        <v>2.9513032552431789E-2</v>
      </c>
      <c r="K387" s="20" cm="1">
        <f t="array" ref="K387">D386 + MMULT($P$10:$AY$10, IF(D387:D422="", 0, D387:D422))</f>
        <v>-3.2050883614039918E-2</v>
      </c>
      <c r="L387" s="20" cm="1">
        <f t="array" ref="L387">E386 + MMULT($P$10:$AY$10, IF(E387:E422="", 0, E387:E422))</f>
        <v>3.3740615499485524E-2</v>
      </c>
      <c r="M387" s="20" cm="1">
        <f t="array" ref="M387">F386 + MMULT($P$10:$AY$10, IF(F387:F422="", 0, F387:F422))</f>
        <v>3.1339702777268136E-2</v>
      </c>
    </row>
    <row r="388" spans="2:13" x14ac:dyDescent="0.25">
      <c r="B388" s="4" t="s">
        <v>13</v>
      </c>
      <c r="C388" s="46"/>
      <c r="E388" s="46"/>
    </row>
    <row r="389" spans="2:13" x14ac:dyDescent="0.25">
      <c r="B389" s="4" t="s">
        <v>17</v>
      </c>
      <c r="C389" s="46"/>
      <c r="D389">
        <v>-5.2127429992034724</v>
      </c>
      <c r="E389" s="46"/>
    </row>
    <row r="390" spans="2:13" x14ac:dyDescent="0.25">
      <c r="B390" s="4" t="s">
        <v>14</v>
      </c>
      <c r="C390" s="46"/>
      <c r="E390" s="46"/>
    </row>
    <row r="391" spans="2:13" x14ac:dyDescent="0.25">
      <c r="B391" s="4" t="s">
        <v>15</v>
      </c>
      <c r="C391" s="46"/>
      <c r="E391" s="46"/>
    </row>
    <row r="392" spans="2:13" x14ac:dyDescent="0.25">
      <c r="B392" s="4" t="s">
        <v>21</v>
      </c>
      <c r="C392" s="46"/>
      <c r="E392" s="46"/>
    </row>
    <row r="393" spans="2:13" x14ac:dyDescent="0.25">
      <c r="B393" s="4" t="s">
        <v>22</v>
      </c>
      <c r="C393" s="46">
        <v>-2.6952532576859132</v>
      </c>
      <c r="D393">
        <v>-1.0014979300764439</v>
      </c>
      <c r="E393" s="46">
        <v>0.52134206139722772</v>
      </c>
      <c r="F393">
        <v>-3.2561558523810832</v>
      </c>
    </row>
    <row r="394" spans="2:13" x14ac:dyDescent="0.25">
      <c r="B394" s="4" t="s">
        <v>23</v>
      </c>
      <c r="C394" s="46"/>
      <c r="D394">
        <v>3.3510682701085961</v>
      </c>
      <c r="E394" s="46"/>
    </row>
    <row r="395" spans="2:13" x14ac:dyDescent="0.25">
      <c r="B395" s="4" t="s">
        <v>18</v>
      </c>
      <c r="C395" s="46"/>
      <c r="E395" s="46"/>
    </row>
    <row r="396" spans="2:13" x14ac:dyDescent="0.25">
      <c r="B396" s="4" t="s">
        <v>24</v>
      </c>
      <c r="C396" s="46"/>
      <c r="E396" s="46"/>
    </row>
    <row r="397" spans="2:13" x14ac:dyDescent="0.25">
      <c r="B397" s="4" t="s">
        <v>25</v>
      </c>
      <c r="C397" s="46"/>
      <c r="E397" s="46"/>
    </row>
    <row r="398" spans="2:13" x14ac:dyDescent="0.25">
      <c r="B398" s="4" t="s">
        <v>26</v>
      </c>
      <c r="C398" s="46"/>
      <c r="E398" s="46"/>
    </row>
    <row r="399" spans="2:13" x14ac:dyDescent="0.25">
      <c r="B399" s="4" t="s">
        <v>27</v>
      </c>
      <c r="C399" s="46"/>
      <c r="E399" s="46"/>
    </row>
    <row r="400" spans="2:13" x14ac:dyDescent="0.25">
      <c r="B400" s="4" t="s">
        <v>28</v>
      </c>
      <c r="C400" s="46"/>
      <c r="E400" s="46"/>
    </row>
    <row r="401" spans="2:6" x14ac:dyDescent="0.25">
      <c r="B401" s="4" t="s">
        <v>29</v>
      </c>
      <c r="C401" s="46">
        <v>-2.2140029387762581E-2</v>
      </c>
      <c r="E401" s="46"/>
    </row>
    <row r="402" spans="2:6" x14ac:dyDescent="0.25">
      <c r="B402" s="4" t="s">
        <v>30</v>
      </c>
      <c r="C402" s="46"/>
      <c r="E402" s="46"/>
    </row>
    <row r="403" spans="2:6" x14ac:dyDescent="0.25">
      <c r="B403" s="4" t="s">
        <v>31</v>
      </c>
      <c r="C403" s="46"/>
      <c r="E403" s="46"/>
      <c r="F403">
        <v>-2.6265671659308109E-2</v>
      </c>
    </row>
    <row r="404" spans="2:6" x14ac:dyDescent="0.25">
      <c r="B404" s="4" t="s">
        <v>32</v>
      </c>
      <c r="C404" s="46"/>
      <c r="E404" s="46">
        <v>-3.531508265493049E-3</v>
      </c>
    </row>
    <row r="405" spans="2:6" x14ac:dyDescent="0.25">
      <c r="B405" s="4" t="s">
        <v>51</v>
      </c>
      <c r="C405" s="46"/>
      <c r="E405" s="46"/>
    </row>
    <row r="406" spans="2:6" x14ac:dyDescent="0.25">
      <c r="B406" s="4" t="s">
        <v>52</v>
      </c>
      <c r="C406" s="46">
        <v>-1.61114387495559</v>
      </c>
      <c r="E406" s="46"/>
      <c r="F406">
        <v>-2.094385779482919</v>
      </c>
    </row>
    <row r="407" spans="2:6" x14ac:dyDescent="0.25">
      <c r="B407" s="4" t="s">
        <v>53</v>
      </c>
      <c r="C407" s="46"/>
      <c r="E407" s="46"/>
    </row>
    <row r="408" spans="2:6" x14ac:dyDescent="0.25">
      <c r="B408" s="4" t="s">
        <v>54</v>
      </c>
      <c r="C408" s="46"/>
      <c r="E408" s="46"/>
    </row>
    <row r="409" spans="2:6" x14ac:dyDescent="0.25">
      <c r="B409" s="4" t="s">
        <v>55</v>
      </c>
      <c r="C409" s="46"/>
      <c r="E409" s="46"/>
    </row>
    <row r="410" spans="2:6" x14ac:dyDescent="0.25">
      <c r="B410" s="4" t="s">
        <v>56</v>
      </c>
      <c r="C410" s="46"/>
      <c r="E410" s="46"/>
    </row>
    <row r="411" spans="2:6" x14ac:dyDescent="0.25">
      <c r="B411" s="4" t="s">
        <v>57</v>
      </c>
      <c r="C411" s="46"/>
      <c r="E411" s="46"/>
    </row>
    <row r="412" spans="2:6" x14ac:dyDescent="0.25">
      <c r="B412" s="4" t="s">
        <v>58</v>
      </c>
      <c r="C412" s="46"/>
      <c r="E412" s="46"/>
    </row>
    <row r="413" spans="2:6" x14ac:dyDescent="0.25">
      <c r="B413" s="4" t="s">
        <v>59</v>
      </c>
      <c r="C413" s="46"/>
      <c r="E413" s="46"/>
    </row>
    <row r="414" spans="2:6" x14ac:dyDescent="0.25">
      <c r="B414" s="4" t="s">
        <v>60</v>
      </c>
      <c r="C414" s="46"/>
      <c r="E414" s="46"/>
    </row>
    <row r="415" spans="2:6" x14ac:dyDescent="0.25">
      <c r="B415" s="4" t="s">
        <v>61</v>
      </c>
      <c r="C415" s="46"/>
      <c r="E415" s="46"/>
    </row>
    <row r="416" spans="2:6" x14ac:dyDescent="0.25">
      <c r="B416" s="4" t="s">
        <v>62</v>
      </c>
      <c r="C416" s="46"/>
      <c r="E416" s="46"/>
    </row>
    <row r="417" spans="2:13" x14ac:dyDescent="0.25">
      <c r="B417" s="4" t="s">
        <v>63</v>
      </c>
      <c r="C417" s="46"/>
      <c r="E417" s="46"/>
    </row>
    <row r="418" spans="2:13" x14ac:dyDescent="0.25">
      <c r="B418" s="4" t="s">
        <v>64</v>
      </c>
      <c r="C418" s="46"/>
      <c r="E418" s="46"/>
    </row>
    <row r="419" spans="2:13" x14ac:dyDescent="0.25">
      <c r="B419" s="4" t="s">
        <v>65</v>
      </c>
      <c r="C419" s="46"/>
      <c r="E419" s="46"/>
    </row>
    <row r="420" spans="2:13" x14ac:dyDescent="0.25">
      <c r="B420" s="4" t="s">
        <v>66</v>
      </c>
      <c r="C420" s="46"/>
      <c r="E420" s="46"/>
    </row>
    <row r="421" spans="2:13" x14ac:dyDescent="0.25">
      <c r="B421" s="4" t="s">
        <v>67</v>
      </c>
      <c r="C421" s="46"/>
      <c r="E421" s="46"/>
    </row>
    <row r="422" spans="2:13" x14ac:dyDescent="0.25">
      <c r="B422" s="4" t="s">
        <v>68</v>
      </c>
      <c r="C422" s="46"/>
      <c r="E422" s="46">
        <v>-5.5086401901995301E-3</v>
      </c>
    </row>
    <row r="425" spans="2:13" x14ac:dyDescent="0.25">
      <c r="C425" s="51" t="s">
        <v>77</v>
      </c>
      <c r="D425" s="52"/>
      <c r="E425" s="52"/>
      <c r="F425" s="53"/>
      <c r="J425" s="54" t="s">
        <v>41</v>
      </c>
      <c r="K425" s="54"/>
      <c r="L425" s="54"/>
      <c r="M425" s="54"/>
    </row>
    <row r="426" spans="2:13" x14ac:dyDescent="0.25">
      <c r="C426" s="12">
        <v>1</v>
      </c>
      <c r="D426" s="13">
        <v>2</v>
      </c>
      <c r="E426" s="13">
        <v>3</v>
      </c>
      <c r="F426" s="14">
        <v>4</v>
      </c>
      <c r="G426" s="5"/>
      <c r="H426" s="5"/>
      <c r="I426" s="5"/>
      <c r="J426" s="9">
        <v>1</v>
      </c>
      <c r="K426" s="10">
        <v>2</v>
      </c>
      <c r="L426" s="10">
        <v>3</v>
      </c>
      <c r="M426" s="11">
        <v>4</v>
      </c>
    </row>
    <row r="427" spans="2:13" x14ac:dyDescent="0.25">
      <c r="B427" s="4" t="s">
        <v>33</v>
      </c>
      <c r="C427" s="46" t="s">
        <v>18</v>
      </c>
      <c r="D427" t="s">
        <v>117</v>
      </c>
      <c r="E427" s="46" t="s">
        <v>118</v>
      </c>
      <c r="F427" t="s">
        <v>119</v>
      </c>
      <c r="G427" t="s">
        <v>40</v>
      </c>
      <c r="H427" s="8" t="s">
        <v>0</v>
      </c>
      <c r="I427" s="15" t="s">
        <v>43</v>
      </c>
      <c r="J427" s="16" t="s">
        <v>42</v>
      </c>
      <c r="K427" s="16" t="s">
        <v>42</v>
      </c>
      <c r="L427" s="16" t="s">
        <v>42</v>
      </c>
      <c r="M427" s="17" t="s">
        <v>42</v>
      </c>
    </row>
    <row r="428" spans="2:13" x14ac:dyDescent="0.25">
      <c r="B428" s="4" t="s">
        <v>34</v>
      </c>
      <c r="C428" s="46">
        <v>1</v>
      </c>
      <c r="D428">
        <v>1</v>
      </c>
      <c r="E428" s="46">
        <v>1</v>
      </c>
      <c r="F428">
        <v>1</v>
      </c>
      <c r="H428" s="6">
        <v>0</v>
      </c>
      <c r="I428" s="19">
        <f>retornos!K2</f>
        <v>4.6399999999999997E-2</v>
      </c>
      <c r="J428" s="20" cm="1">
        <f t="array" ref="J428">C433 + MMULT($P$4:$AY$4, IF(C434:C469="", 0, C434:C469))</f>
        <v>4.6399999999999969E-2</v>
      </c>
      <c r="K428" s="20" cm="1">
        <f t="array" ref="K428">D433 + MMULT($P$4:$AY$4, IF(D434:D469="", 0, D434:D469))</f>
        <v>4.6400000000000011E-2</v>
      </c>
      <c r="L428" s="20" cm="1">
        <f t="array" ref="L428">E433 + MMULT($P$4:$AY$4, IF(E434:E469="", 0, E434:E469))</f>
        <v>4.6400000000000045E-2</v>
      </c>
      <c r="M428" s="20" cm="1">
        <f t="array" ref="M428">F433 + MMULT($P$4:$AY$4, IF(F434:F469="", 0, F434:F469))</f>
        <v>4.6400000000000038E-2</v>
      </c>
    </row>
    <row r="429" spans="2:13" x14ac:dyDescent="0.25">
      <c r="B429" s="4" t="s">
        <v>35</v>
      </c>
      <c r="C429" s="46">
        <v>1</v>
      </c>
      <c r="D429">
        <v>1</v>
      </c>
      <c r="E429" s="46">
        <v>1</v>
      </c>
      <c r="F429">
        <v>1</v>
      </c>
      <c r="H429" s="7">
        <v>1</v>
      </c>
      <c r="I429" s="19">
        <f>retornos!K3</f>
        <v>6.1799999999999994E-2</v>
      </c>
      <c r="J429" s="20" cm="1">
        <f t="array" ref="J429">C433 + MMULT($P$5:$AY$5, IF(C434:C469="", 0, C434:C469))</f>
        <v>6.1799999999999959E-2</v>
      </c>
      <c r="K429" s="20" cm="1">
        <f t="array" ref="K429">D433 + MMULT($P$5:$AY$5, IF(D434:D469="", 0, D434:D469))</f>
        <v>6.1800000000000008E-2</v>
      </c>
      <c r="L429" s="20" cm="1">
        <f t="array" ref="L429">E433 + MMULT($P$5:$AY$5, IF(E434:E469="", 0, E434:E469))</f>
        <v>6.1800000000000063E-2</v>
      </c>
      <c r="M429" s="20" cm="1">
        <f t="array" ref="M429">F433 + MMULT($P$5:$AY$5, IF(F434:F469="", 0, F434:F469))</f>
        <v>6.1800000000000022E-2</v>
      </c>
    </row>
    <row r="430" spans="2:13" x14ac:dyDescent="0.25">
      <c r="B430" s="4" t="s">
        <v>36</v>
      </c>
      <c r="C430" s="46">
        <v>5.0555661040164941E-33</v>
      </c>
      <c r="D430">
        <v>1.3914843848197779E-32</v>
      </c>
      <c r="E430" s="46">
        <v>4.5307501941709718E-32</v>
      </c>
      <c r="F430">
        <v>1.463706757734299E-32</v>
      </c>
      <c r="H430" s="7">
        <v>2</v>
      </c>
      <c r="I430" s="19">
        <f>retornos!K4</f>
        <v>-1.77E-2</v>
      </c>
      <c r="J430" s="20" cm="1">
        <f t="array" ref="J430">C433 + MMULT($P$6:$AY$6, IF(C434:C469="", 0, C434:C469))</f>
        <v>-1.7700000000000028E-2</v>
      </c>
      <c r="K430" s="20" cm="1">
        <f t="array" ref="K430">D433 + MMULT($P$6:$AY$6, IF(D434:D469="", 0, D434:D469))</f>
        <v>-1.7700000000000025E-2</v>
      </c>
      <c r="L430" s="20" cm="1">
        <f t="array" ref="L430">E433 + MMULT($P$6:$AY$6, IF(E434:E469="", 0, E434:E469))</f>
        <v>-1.7700000000000021E-2</v>
      </c>
      <c r="M430" s="20" cm="1">
        <f t="array" ref="M430">F433 + MMULT($P$6:$AY$6, IF(F434:F469="", 0, F434:F469))</f>
        <v>-1.7700000000000004E-2</v>
      </c>
    </row>
    <row r="431" spans="2:13" x14ac:dyDescent="0.25">
      <c r="B431" s="4" t="s">
        <v>37</v>
      </c>
      <c r="C431" s="46">
        <v>-436.32868488051361</v>
      </c>
      <c r="D431">
        <v>-428.46212738355609</v>
      </c>
      <c r="E431" s="46">
        <v>-421.37902867471843</v>
      </c>
      <c r="F431">
        <v>-428.15852130379329</v>
      </c>
      <c r="H431" s="7">
        <v>3</v>
      </c>
      <c r="I431" s="19">
        <f>retornos!K5</f>
        <v>0.1555</v>
      </c>
      <c r="J431" s="20" cm="1">
        <f t="array" ref="J431">C433 + MMULT($P$7:$AY$7, IF(C434:C469="", 0, C434:C469))</f>
        <v>0.15549999999999997</v>
      </c>
      <c r="K431" s="20" cm="1">
        <f t="array" ref="K431">D433 + MMULT($P$7:$AY$7, IF(D434:D469="", 0, D434:D469))</f>
        <v>0.15550000000000008</v>
      </c>
      <c r="L431" s="20" cm="1">
        <f t="array" ref="L431">E433 + MMULT($P$7:$AY$7, IF(E434:E469="", 0, E434:E469))</f>
        <v>0.15550000000000019</v>
      </c>
      <c r="M431" s="20" cm="1">
        <f t="array" ref="M431">F433 + MMULT($P$7:$AY$7, IF(F434:F469="", 0, F434:F469))</f>
        <v>0.15550000000000003</v>
      </c>
    </row>
    <row r="432" spans="2:13" x14ac:dyDescent="0.25">
      <c r="B432" s="4" t="s">
        <v>38</v>
      </c>
      <c r="C432" s="46">
        <v>2.4898510370757041E-62</v>
      </c>
      <c r="D432">
        <v>5.9726819438803592E-46</v>
      </c>
      <c r="E432" s="46">
        <v>3.509191424585534E-45</v>
      </c>
      <c r="F432">
        <v>6.4436656809660303E-46</v>
      </c>
      <c r="H432" s="7">
        <v>4</v>
      </c>
      <c r="I432" s="19">
        <f>retornos!K6</f>
        <v>0.11380000000000001</v>
      </c>
      <c r="J432" s="20" cm="1">
        <f t="array" ref="J432">C433 + MMULT($P$8:$AY$8, IF(C434:C469="", 0, C434:C469))</f>
        <v>0.11379999999999998</v>
      </c>
      <c r="K432" s="20" cm="1">
        <f t="array" ref="K432">D433 + MMULT($P$8:$AY$8, IF(D434:D469="", 0, D434:D469))</f>
        <v>0.11380000000000001</v>
      </c>
      <c r="L432" s="20" cm="1">
        <f t="array" ref="L432">E433 + MMULT($P$8:$AY$8, IF(E434:E469="", 0, E434:E469))</f>
        <v>0.11380000000000014</v>
      </c>
      <c r="M432" s="20" cm="1">
        <f t="array" ref="M432">F433 + MMULT($P$8:$AY$8, IF(F434:F469="", 0, F434:F469))</f>
        <v>0.11380000000000004</v>
      </c>
    </row>
    <row r="433" spans="2:13" x14ac:dyDescent="0.25">
      <c r="B433" s="4" t="s">
        <v>39</v>
      </c>
      <c r="C433" s="46">
        <v>1.9999999999999969E-2</v>
      </c>
      <c r="D433">
        <v>1.999999999999998E-2</v>
      </c>
      <c r="E433" s="46">
        <v>2.0000000000000032E-2</v>
      </c>
      <c r="F433">
        <v>2.000000000000007E-2</v>
      </c>
      <c r="H433" s="7">
        <v>5</v>
      </c>
      <c r="I433" s="19">
        <f>retornos!K7</f>
        <v>0.12210000000000001</v>
      </c>
      <c r="J433" s="20" cm="1">
        <f t="array" ref="J433">C433 + MMULT($P$9:$AY$9, IF(C434:C469="", 0, C434:C469))</f>
        <v>0.12209999999999999</v>
      </c>
      <c r="K433" s="20" cm="1">
        <f t="array" ref="K433">D433 + MMULT($P$9:$AY$9, IF(D434:D469="", 0, D434:D469))</f>
        <v>0.12210000000000006</v>
      </c>
      <c r="L433" s="20" cm="1">
        <f t="array" ref="L433">E433 + MMULT($P$9:$AY$9, IF(E434:E469="", 0, E434:E469))</f>
        <v>0.12210000000000014</v>
      </c>
      <c r="M433" s="20" cm="1">
        <f t="array" ref="M433">F433 + MMULT($P$9:$AY$9, IF(F434:F469="", 0, F434:F469))</f>
        <v>0.12210000000000006</v>
      </c>
    </row>
    <row r="434" spans="2:13" x14ac:dyDescent="0.25">
      <c r="B434" s="4" t="s">
        <v>16</v>
      </c>
      <c r="C434" s="46"/>
      <c r="D434">
        <v>1.7763568394002501E-15</v>
      </c>
      <c r="E434" s="46"/>
      <c r="H434" s="7">
        <v>6</v>
      </c>
      <c r="I434" s="19">
        <f>retornos!K8</f>
        <v>0</v>
      </c>
      <c r="J434" s="20" cm="1">
        <f t="array" ref="J434">C433 + MMULT($P$10:$AY$10, IF(C434:C469="", 0, C434:C469))</f>
        <v>-3.1225022567582528E-17</v>
      </c>
      <c r="K434" s="20" cm="1">
        <f t="array" ref="K434">D433 + MMULT($P$10:$AY$10, IF(D434:D469="", 0, D434:D469))</f>
        <v>2.7755575615628914E-17</v>
      </c>
      <c r="L434" s="20" cm="1">
        <f t="array" ref="L434">E433 + MMULT($P$10:$AY$10, IF(E434:E469="", 0, E434:E469))</f>
        <v>0</v>
      </c>
      <c r="M434" s="20" cm="1">
        <f t="array" ref="M434">F433 + MMULT($P$10:$AY$10, IF(F434:F469="", 0, F434:F469))</f>
        <v>0</v>
      </c>
    </row>
    <row r="435" spans="2:13" x14ac:dyDescent="0.25">
      <c r="B435" s="4" t="s">
        <v>13</v>
      </c>
      <c r="C435" s="46"/>
      <c r="E435" s="46">
        <v>-1.110223024625157E-16</v>
      </c>
    </row>
    <row r="436" spans="2:13" x14ac:dyDescent="0.25">
      <c r="B436" s="4" t="s">
        <v>17</v>
      </c>
      <c r="C436" s="46"/>
      <c r="E436" s="46"/>
      <c r="F436">
        <v>-1.554312234475219E-15</v>
      </c>
    </row>
    <row r="437" spans="2:13" x14ac:dyDescent="0.25">
      <c r="B437" s="4" t="s">
        <v>14</v>
      </c>
      <c r="C437" s="46"/>
      <c r="E437" s="46"/>
    </row>
    <row r="438" spans="2:13" x14ac:dyDescent="0.25">
      <c r="B438" s="4" t="s">
        <v>15</v>
      </c>
      <c r="C438" s="46"/>
      <c r="E438" s="46"/>
    </row>
    <row r="439" spans="2:13" x14ac:dyDescent="0.25">
      <c r="B439" s="4" t="s">
        <v>21</v>
      </c>
      <c r="C439" s="46"/>
      <c r="E439" s="46"/>
    </row>
    <row r="440" spans="2:13" x14ac:dyDescent="0.25">
      <c r="B440" s="4" t="s">
        <v>22</v>
      </c>
      <c r="C440" s="46"/>
      <c r="E440" s="46"/>
    </row>
    <row r="441" spans="2:13" x14ac:dyDescent="0.25">
      <c r="B441" s="4" t="s">
        <v>23</v>
      </c>
      <c r="C441" s="46"/>
      <c r="E441" s="46"/>
    </row>
    <row r="442" spans="2:13" x14ac:dyDescent="0.25">
      <c r="B442" s="4" t="s">
        <v>18</v>
      </c>
      <c r="C442" s="46">
        <v>1</v>
      </c>
      <c r="D442">
        <v>1</v>
      </c>
      <c r="E442" s="46">
        <v>1.0000000000000011</v>
      </c>
      <c r="F442">
        <v>1</v>
      </c>
    </row>
    <row r="443" spans="2:13" x14ac:dyDescent="0.25">
      <c r="B443" s="4" t="s">
        <v>24</v>
      </c>
      <c r="C443" s="46"/>
      <c r="E443" s="46"/>
    </row>
    <row r="444" spans="2:13" x14ac:dyDescent="0.25">
      <c r="B444" s="4" t="s">
        <v>25</v>
      </c>
      <c r="C444" s="46"/>
      <c r="E444" s="46"/>
    </row>
    <row r="445" spans="2:13" x14ac:dyDescent="0.25">
      <c r="B445" s="4" t="s">
        <v>26</v>
      </c>
      <c r="C445" s="46"/>
      <c r="E445" s="46"/>
    </row>
    <row r="446" spans="2:13" x14ac:dyDescent="0.25">
      <c r="B446" s="4" t="s">
        <v>27</v>
      </c>
      <c r="C446" s="46"/>
      <c r="E446" s="46"/>
    </row>
    <row r="447" spans="2:13" x14ac:dyDescent="0.25">
      <c r="B447" s="4" t="s">
        <v>28</v>
      </c>
      <c r="C447" s="46"/>
      <c r="E447" s="46"/>
    </row>
    <row r="448" spans="2:13" x14ac:dyDescent="0.25">
      <c r="B448" s="4" t="s">
        <v>29</v>
      </c>
      <c r="C448" s="46"/>
      <c r="E448" s="46"/>
    </row>
    <row r="449" spans="2:5" x14ac:dyDescent="0.25">
      <c r="B449" s="4" t="s">
        <v>30</v>
      </c>
      <c r="C449" s="46"/>
      <c r="E449" s="46"/>
    </row>
    <row r="450" spans="2:5" x14ac:dyDescent="0.25">
      <c r="B450" s="4" t="s">
        <v>31</v>
      </c>
      <c r="C450" s="46"/>
      <c r="E450" s="46"/>
    </row>
    <row r="451" spans="2:5" x14ac:dyDescent="0.25">
      <c r="B451" s="4" t="s">
        <v>32</v>
      </c>
      <c r="C451" s="46"/>
      <c r="E451" s="46"/>
    </row>
    <row r="452" spans="2:5" x14ac:dyDescent="0.25">
      <c r="B452" s="4" t="s">
        <v>51</v>
      </c>
      <c r="C452" s="46"/>
      <c r="E452" s="46"/>
    </row>
    <row r="453" spans="2:5" x14ac:dyDescent="0.25">
      <c r="B453" s="4" t="s">
        <v>52</v>
      </c>
      <c r="C453" s="46"/>
      <c r="E453" s="46"/>
    </row>
    <row r="454" spans="2:5" x14ac:dyDescent="0.25">
      <c r="B454" s="4" t="s">
        <v>53</v>
      </c>
      <c r="C454" s="46"/>
      <c r="E454" s="46"/>
    </row>
    <row r="455" spans="2:5" x14ac:dyDescent="0.25">
      <c r="B455" s="4" t="s">
        <v>54</v>
      </c>
      <c r="C455" s="46"/>
      <c r="E455" s="46"/>
    </row>
    <row r="456" spans="2:5" x14ac:dyDescent="0.25">
      <c r="B456" s="4" t="s">
        <v>55</v>
      </c>
      <c r="C456" s="46"/>
      <c r="E456" s="46"/>
    </row>
    <row r="457" spans="2:5" x14ac:dyDescent="0.25">
      <c r="B457" s="4" t="s">
        <v>56</v>
      </c>
      <c r="C457" s="46"/>
      <c r="E457" s="46"/>
    </row>
    <row r="458" spans="2:5" x14ac:dyDescent="0.25">
      <c r="B458" s="4" t="s">
        <v>57</v>
      </c>
      <c r="C458" s="46"/>
      <c r="E458" s="46"/>
    </row>
    <row r="459" spans="2:5" x14ac:dyDescent="0.25">
      <c r="B459" s="4" t="s">
        <v>58</v>
      </c>
      <c r="C459" s="46"/>
      <c r="E459" s="46"/>
    </row>
    <row r="460" spans="2:5" x14ac:dyDescent="0.25">
      <c r="B460" s="4" t="s">
        <v>59</v>
      </c>
      <c r="C460" s="46"/>
      <c r="E460" s="46"/>
    </row>
    <row r="461" spans="2:5" x14ac:dyDescent="0.25">
      <c r="B461" s="4" t="s">
        <v>60</v>
      </c>
      <c r="C461" s="46"/>
      <c r="E461" s="46"/>
    </row>
    <row r="462" spans="2:5" x14ac:dyDescent="0.25">
      <c r="B462" s="4" t="s">
        <v>61</v>
      </c>
      <c r="C462" s="46"/>
      <c r="E462" s="46"/>
    </row>
    <row r="463" spans="2:5" x14ac:dyDescent="0.25">
      <c r="B463" s="4" t="s">
        <v>62</v>
      </c>
      <c r="C463" s="46"/>
      <c r="E463" s="46"/>
    </row>
    <row r="464" spans="2:5" x14ac:dyDescent="0.25">
      <c r="B464" s="4" t="s">
        <v>63</v>
      </c>
      <c r="C464" s="46"/>
      <c r="E464" s="46"/>
    </row>
    <row r="465" spans="2:13" x14ac:dyDescent="0.25">
      <c r="B465" s="4" t="s">
        <v>64</v>
      </c>
      <c r="C465" s="46"/>
      <c r="E465" s="46"/>
    </row>
    <row r="466" spans="2:13" x14ac:dyDescent="0.25">
      <c r="B466" s="4" t="s">
        <v>65</v>
      </c>
      <c r="C466" s="46"/>
      <c r="E466" s="46"/>
    </row>
    <row r="467" spans="2:13" x14ac:dyDescent="0.25">
      <c r="B467" s="4" t="s">
        <v>66</v>
      </c>
      <c r="C467" s="46"/>
      <c r="E467" s="46"/>
    </row>
    <row r="468" spans="2:13" x14ac:dyDescent="0.25">
      <c r="B468" s="4" t="s">
        <v>67</v>
      </c>
      <c r="C468" s="46"/>
      <c r="E468" s="46"/>
    </row>
    <row r="469" spans="2:13" x14ac:dyDescent="0.25">
      <c r="B469" s="4" t="s">
        <v>68</v>
      </c>
      <c r="C469" s="46"/>
      <c r="E469" s="46"/>
    </row>
    <row r="472" spans="2:13" x14ac:dyDescent="0.25">
      <c r="C472" s="51" t="s">
        <v>81</v>
      </c>
      <c r="D472" s="52"/>
      <c r="E472" s="52"/>
      <c r="F472" s="53"/>
      <c r="J472" s="54" t="s">
        <v>41</v>
      </c>
      <c r="K472" s="54"/>
      <c r="L472" s="54"/>
      <c r="M472" s="54"/>
    </row>
    <row r="473" spans="2:13" x14ac:dyDescent="0.25">
      <c r="C473" s="12">
        <v>1</v>
      </c>
      <c r="D473" s="13">
        <v>2</v>
      </c>
      <c r="E473" s="13">
        <v>3</v>
      </c>
      <c r="F473" s="14">
        <v>4</v>
      </c>
      <c r="G473" s="5"/>
      <c r="H473" s="5"/>
      <c r="I473" s="5"/>
      <c r="J473" s="9">
        <v>1</v>
      </c>
      <c r="K473" s="10">
        <v>2</v>
      </c>
      <c r="L473" s="10">
        <v>3</v>
      </c>
      <c r="M473" s="11">
        <v>4</v>
      </c>
    </row>
    <row r="474" spans="2:13" x14ac:dyDescent="0.25">
      <c r="B474" s="4" t="s">
        <v>33</v>
      </c>
      <c r="C474" s="46" t="s">
        <v>120</v>
      </c>
      <c r="D474" t="s">
        <v>121</v>
      </c>
      <c r="E474" s="46" t="s">
        <v>122</v>
      </c>
      <c r="F474" t="s">
        <v>123</v>
      </c>
      <c r="G474" t="s">
        <v>40</v>
      </c>
      <c r="H474" s="8" t="s">
        <v>0</v>
      </c>
      <c r="I474" s="15" t="s">
        <v>43</v>
      </c>
      <c r="J474" s="16" t="s">
        <v>42</v>
      </c>
      <c r="K474" s="16" t="s">
        <v>42</v>
      </c>
      <c r="L474" s="16" t="s">
        <v>42</v>
      </c>
      <c r="M474" s="17" t="s">
        <v>42</v>
      </c>
    </row>
    <row r="475" spans="2:13" x14ac:dyDescent="0.25">
      <c r="B475" s="4" t="s">
        <v>34</v>
      </c>
      <c r="C475" s="46">
        <v>3</v>
      </c>
      <c r="D475">
        <v>3</v>
      </c>
      <c r="E475" s="46">
        <v>3</v>
      </c>
      <c r="F475">
        <v>3</v>
      </c>
      <c r="H475" s="6">
        <v>0</v>
      </c>
      <c r="I475" s="19">
        <f>retornos!L2</f>
        <v>3.1899999999999998E-2</v>
      </c>
      <c r="J475" s="20" cm="1">
        <f t="array" ref="J475">C480 + MMULT($P$4:$AY$4, IF(C481:C516="", 0, C481:C516))</f>
        <v>3.2313735782660169E-2</v>
      </c>
      <c r="K475" s="20" cm="1">
        <f t="array" ref="K475">D480 + MMULT($P$4:$AY$4, IF(D481:D516="", 0, D481:D516))</f>
        <v>3.1392682270902084E-2</v>
      </c>
      <c r="L475" s="20" cm="1">
        <f t="array" ref="L475">E480 + MMULT($P$4:$AY$4, IF(E481:E516="", 0, E481:E516))</f>
        <v>3.2352372731599688E-2</v>
      </c>
      <c r="M475" s="20" cm="1">
        <f t="array" ref="M475">F480 + MMULT($P$4:$AY$4, IF(F481:F516="", 0, F481:F516))</f>
        <v>3.0272552942507747E-2</v>
      </c>
    </row>
    <row r="476" spans="2:13" x14ac:dyDescent="0.25">
      <c r="B476" s="4" t="s">
        <v>35</v>
      </c>
      <c r="C476" s="46">
        <v>0.99992792330926106</v>
      </c>
      <c r="D476">
        <v>0.99984213104605224</v>
      </c>
      <c r="E476" s="46">
        <v>0.99962635271563349</v>
      </c>
      <c r="F476">
        <v>0.99897371021767545</v>
      </c>
      <c r="H476" s="7">
        <v>1</v>
      </c>
      <c r="I476" s="19">
        <f>retornos!L3</f>
        <v>2.0899999999999998E-2</v>
      </c>
      <c r="J476" s="20" cm="1">
        <f t="array" ref="J476">C480 + MMULT($P$5:$AY$5, IF(C481:C516="", 0, C481:C516))</f>
        <v>2.1146016966261394E-2</v>
      </c>
      <c r="K476" s="20" cm="1">
        <f t="array" ref="K476">D480 + MMULT($P$5:$AY$5, IF(D481:D516="", 0, D481:D516))</f>
        <v>2.0389039312922463E-2</v>
      </c>
      <c r="L476" s="20" cm="1">
        <f t="array" ref="L476">E480 + MMULT($P$5:$AY$5, IF(E481:E516="", 0, E481:E516))</f>
        <v>2.1997292217316444E-2</v>
      </c>
      <c r="M476" s="20" cm="1">
        <f t="array" ref="M476">F480 + MMULT($P$5:$AY$5, IF(F481:F516="", 0, F481:F516))</f>
        <v>2.1079295608290138E-2</v>
      </c>
    </row>
    <row r="477" spans="2:13" x14ac:dyDescent="0.25">
      <c r="B477" s="4" t="s">
        <v>36</v>
      </c>
      <c r="C477" s="46">
        <v>1.2737372125403719E-6</v>
      </c>
      <c r="D477">
        <v>2.7898556285882421E-6</v>
      </c>
      <c r="E477" s="46">
        <v>6.6030840981034304E-6</v>
      </c>
      <c r="F477">
        <v>1.81365636129317E-5</v>
      </c>
      <c r="H477" s="7">
        <v>2</v>
      </c>
      <c r="I477" s="19">
        <f>retornos!L4</f>
        <v>0.23499999999999999</v>
      </c>
      <c r="J477" s="20" cm="1">
        <f t="array" ref="J477">C480 + MMULT($P$6:$AY$6, IF(C481:C516="", 0, C481:C516))</f>
        <v>0.235583654365702</v>
      </c>
      <c r="K477" s="20" cm="1">
        <f t="array" ref="K477">D480 + MMULT($P$6:$AY$6, IF(D481:D516="", 0, D481:D516))</f>
        <v>0.23489127025849799</v>
      </c>
      <c r="L477" s="20" cm="1">
        <f t="array" ref="L477">E480 + MMULT($P$6:$AY$6, IF(E481:E516="", 0, E481:E516))</f>
        <v>0.23515741597452788</v>
      </c>
      <c r="M477" s="20" cm="1">
        <f t="array" ref="M477">F480 + MMULT($P$6:$AY$6, IF(F481:F516="", 0, F481:F516))</f>
        <v>0.23248219697229738</v>
      </c>
    </row>
    <row r="478" spans="2:13" x14ac:dyDescent="0.25">
      <c r="B478" s="4" t="s">
        <v>37</v>
      </c>
      <c r="C478" s="46">
        <v>-67.997588290094114</v>
      </c>
      <c r="D478">
        <v>-63.293380796973587</v>
      </c>
      <c r="E478" s="46">
        <v>-58.124098922911912</v>
      </c>
      <c r="F478">
        <v>-52.061739949299522</v>
      </c>
      <c r="H478" s="7">
        <v>3</v>
      </c>
      <c r="I478" s="19">
        <f>retornos!L5</f>
        <v>9.5899999999999999E-2</v>
      </c>
      <c r="J478" s="20" cm="1">
        <f t="array" ref="J478">C480 + MMULT($P$7:$AY$7, IF(C481:C516="", 0, C481:C516))</f>
        <v>9.5749918437425086E-2</v>
      </c>
      <c r="K478" s="20" cm="1">
        <f t="array" ref="K478">D480 + MMULT($P$7:$AY$7, IF(D481:D516="", 0, D481:D516))</f>
        <v>9.5250255510305637E-2</v>
      </c>
      <c r="L478" s="20" cm="1">
        <f t="array" ref="L478">E480 + MMULT($P$7:$AY$7, IF(E481:E516="", 0, E481:E516))</f>
        <v>9.6896045363728311E-2</v>
      </c>
      <c r="M478" s="20" cm="1">
        <f t="array" ref="M478">F480 + MMULT($P$7:$AY$7, IF(F481:F516="", 0, F481:F516))</f>
        <v>9.7570975718467443E-2</v>
      </c>
    </row>
    <row r="479" spans="2:13" x14ac:dyDescent="0.25">
      <c r="B479" s="4" t="s">
        <v>38</v>
      </c>
      <c r="C479" s="46">
        <v>4.3245702738915253E-5</v>
      </c>
      <c r="D479">
        <v>9.4719876996524012E-5</v>
      </c>
      <c r="E479" s="46">
        <v>2.241799936736654E-4</v>
      </c>
      <c r="F479">
        <v>6.1571066882715989E-4</v>
      </c>
      <c r="H479" s="7">
        <v>4</v>
      </c>
      <c r="I479" s="19">
        <f>retornos!L6</f>
        <v>1.1299999999999999E-2</v>
      </c>
      <c r="J479" s="20" cm="1">
        <f t="array" ref="J479">C480 + MMULT($P$8:$AY$8, IF(C481:C516="", 0, C481:C516))</f>
        <v>1.0954804704712551E-2</v>
      </c>
      <c r="K479" s="20" cm="1">
        <f t="array" ref="K479">D480 + MMULT($P$8:$AY$8, IF(D481:D516="", 0, D481:D516))</f>
        <v>1.2548229406931011E-2</v>
      </c>
      <c r="L479" s="20" cm="1">
        <f t="array" ref="L479">E480 + MMULT($P$8:$AY$8, IF(E481:E516="", 0, E481:E516))</f>
        <v>9.4365478148327187E-3</v>
      </c>
      <c r="M479" s="20" cm="1">
        <f t="array" ref="M479">F480 + MMULT($P$8:$AY$8, IF(F481:F516="", 0, F481:F516))</f>
        <v>1.1089020188542603E-2</v>
      </c>
    </row>
    <row r="480" spans="2:13" x14ac:dyDescent="0.25">
      <c r="B480" s="4" t="s">
        <v>39</v>
      </c>
      <c r="C480" s="46">
        <v>0.54912346716925131</v>
      </c>
      <c r="D480">
        <v>-0.51239231356708248</v>
      </c>
      <c r="E480" s="46">
        <v>-0.40437463800088758</v>
      </c>
      <c r="F480">
        <v>0.20735261752181031</v>
      </c>
      <c r="H480" s="7">
        <v>5</v>
      </c>
      <c r="I480" s="19">
        <f>retornos!L7</f>
        <v>0.18510000000000001</v>
      </c>
      <c r="J480" s="20" cm="1">
        <f t="array" ref="J480">C480 + MMULT($P$9:$AY$9, IF(C481:C516="", 0, C481:C516))</f>
        <v>0.18435186974323858</v>
      </c>
      <c r="K480" s="20" cm="1">
        <f t="array" ref="K480">D480 + MMULT($P$9:$AY$9, IF(D481:D516="", 0, D481:D516))</f>
        <v>0.18562852324044443</v>
      </c>
      <c r="L480" s="20" cm="1">
        <f t="array" ref="L480">E480 + MMULT($P$9:$AY$9, IF(E481:E516="", 0, E481:E516))</f>
        <v>0.1842603258979939</v>
      </c>
      <c r="M480" s="20" cm="1">
        <f t="array" ref="M480">F480 + MMULT($P$9:$AY$9, IF(F481:F516="", 0, F481:F516))</f>
        <v>0.18760595856988516</v>
      </c>
    </row>
    <row r="481" spans="2:13" x14ac:dyDescent="0.25">
      <c r="B481" s="4" t="s">
        <v>16</v>
      </c>
      <c r="C481" s="46"/>
      <c r="E481" s="46"/>
      <c r="H481" s="7">
        <v>6</v>
      </c>
      <c r="I481" s="19">
        <f>retornos!L8</f>
        <v>0</v>
      </c>
      <c r="J481" s="20" cm="1">
        <f t="array" ref="J481">C480 + MMULT($P$10:$AY$10, IF(C481:C516="", 0, C481:C516))</f>
        <v>2.3771005617032603E-2</v>
      </c>
      <c r="K481" s="20" cm="1">
        <f t="array" ref="K481">D480 + MMULT($P$10:$AY$10, IF(D481:D516="", 0, D481:D516))</f>
        <v>0.11943425671700969</v>
      </c>
      <c r="L481" s="20" cm="1">
        <f t="array" ref="L481">E480 + MMULT($P$10:$AY$10, IF(E481:E516="", 0, E481:E516))</f>
        <v>0.15383930285706637</v>
      </c>
      <c r="M481" s="20" cm="1">
        <f t="array" ref="M481">F480 + MMULT($P$10:$AY$10, IF(F481:F516="", 0, F481:F516))</f>
        <v>0.22445752564872498</v>
      </c>
    </row>
    <row r="482" spans="2:13" x14ac:dyDescent="0.25">
      <c r="B482" s="4" t="s">
        <v>13</v>
      </c>
      <c r="C482" s="46"/>
      <c r="E482" s="46"/>
    </row>
    <row r="483" spans="2:13" x14ac:dyDescent="0.25">
      <c r="B483" s="4" t="s">
        <v>17</v>
      </c>
      <c r="C483" s="46"/>
      <c r="E483" s="46"/>
    </row>
    <row r="484" spans="2:13" x14ac:dyDescent="0.25">
      <c r="B484" s="4" t="s">
        <v>14</v>
      </c>
      <c r="C484" s="46"/>
      <c r="E484" s="46"/>
    </row>
    <row r="485" spans="2:13" x14ac:dyDescent="0.25">
      <c r="B485" s="4" t="s">
        <v>15</v>
      </c>
      <c r="C485" s="46"/>
      <c r="E485" s="46"/>
    </row>
    <row r="486" spans="2:13" x14ac:dyDescent="0.25">
      <c r="B486" s="4" t="s">
        <v>21</v>
      </c>
      <c r="C486" s="46"/>
      <c r="E486" s="46"/>
    </row>
    <row r="487" spans="2:13" x14ac:dyDescent="0.25">
      <c r="B487" s="4" t="s">
        <v>22</v>
      </c>
      <c r="C487" s="46">
        <v>-13.95964852049843</v>
      </c>
      <c r="D487">
        <v>-13.754553697474609</v>
      </c>
      <c r="E487" s="46">
        <v>-12.943850642854059</v>
      </c>
      <c r="F487">
        <v>-11.491571667772011</v>
      </c>
    </row>
    <row r="488" spans="2:13" x14ac:dyDescent="0.25">
      <c r="B488" s="4" t="s">
        <v>23</v>
      </c>
      <c r="C488" s="46"/>
      <c r="E488" s="46"/>
    </row>
    <row r="489" spans="2:13" x14ac:dyDescent="0.25">
      <c r="B489" s="4" t="s">
        <v>18</v>
      </c>
      <c r="C489" s="46"/>
      <c r="E489" s="46"/>
    </row>
    <row r="490" spans="2:13" x14ac:dyDescent="0.25">
      <c r="B490" s="4" t="s">
        <v>24</v>
      </c>
      <c r="C490" s="46"/>
      <c r="E490" s="46"/>
    </row>
    <row r="491" spans="2:13" x14ac:dyDescent="0.25">
      <c r="B491" s="4" t="s">
        <v>25</v>
      </c>
      <c r="C491" s="46"/>
      <c r="E491" s="46"/>
    </row>
    <row r="492" spans="2:13" x14ac:dyDescent="0.25">
      <c r="B492" s="4" t="s">
        <v>26</v>
      </c>
      <c r="C492" s="46"/>
      <c r="E492" s="46"/>
    </row>
    <row r="493" spans="2:13" x14ac:dyDescent="0.25">
      <c r="B493" s="4" t="s">
        <v>27</v>
      </c>
      <c r="C493" s="46"/>
      <c r="E493" s="46"/>
    </row>
    <row r="494" spans="2:13" x14ac:dyDescent="0.25">
      <c r="B494" s="4" t="s">
        <v>28</v>
      </c>
      <c r="C494" s="46"/>
      <c r="E494" s="46"/>
    </row>
    <row r="495" spans="2:13" x14ac:dyDescent="0.25">
      <c r="B495" s="4" t="s">
        <v>29</v>
      </c>
      <c r="C495" s="46"/>
      <c r="E495" s="46"/>
    </row>
    <row r="496" spans="2:13" x14ac:dyDescent="0.25">
      <c r="B496" s="4" t="s">
        <v>30</v>
      </c>
      <c r="C496" s="46"/>
      <c r="E496" s="46"/>
    </row>
    <row r="497" spans="2:6" x14ac:dyDescent="0.25">
      <c r="B497" s="4" t="s">
        <v>31</v>
      </c>
      <c r="C497" s="46"/>
      <c r="E497" s="46"/>
    </row>
    <row r="498" spans="2:6" x14ac:dyDescent="0.25">
      <c r="B498" s="4" t="s">
        <v>32</v>
      </c>
      <c r="C498" s="46"/>
      <c r="E498" s="46"/>
    </row>
    <row r="499" spans="2:6" x14ac:dyDescent="0.25">
      <c r="B499" s="4" t="s">
        <v>51</v>
      </c>
      <c r="C499" s="46">
        <v>-11.88083804883113</v>
      </c>
      <c r="E499" s="46"/>
    </row>
    <row r="500" spans="2:6" x14ac:dyDescent="0.25">
      <c r="B500" s="4" t="s">
        <v>52</v>
      </c>
      <c r="C500" s="46"/>
      <c r="D500">
        <v>15.25267016843129</v>
      </c>
      <c r="E500" s="46">
        <v>11.952464126003051</v>
      </c>
    </row>
    <row r="501" spans="2:6" x14ac:dyDescent="0.25">
      <c r="B501" s="4" t="s">
        <v>53</v>
      </c>
      <c r="C501" s="46"/>
      <c r="D501">
        <v>-20.06687718435132</v>
      </c>
      <c r="E501" s="46"/>
    </row>
    <row r="502" spans="2:6" x14ac:dyDescent="0.25">
      <c r="B502" s="4" t="s">
        <v>54</v>
      </c>
      <c r="C502" s="46"/>
      <c r="E502" s="46"/>
    </row>
    <row r="503" spans="2:6" x14ac:dyDescent="0.25">
      <c r="B503" s="4" t="s">
        <v>55</v>
      </c>
      <c r="C503" s="46"/>
      <c r="E503" s="46"/>
    </row>
    <row r="504" spans="2:6" x14ac:dyDescent="0.25">
      <c r="B504" s="4" t="s">
        <v>56</v>
      </c>
      <c r="C504" s="46"/>
      <c r="E504" s="46">
        <v>-12.71185885320369</v>
      </c>
    </row>
    <row r="505" spans="2:6" x14ac:dyDescent="0.25">
      <c r="B505" s="4" t="s">
        <v>57</v>
      </c>
      <c r="C505" s="46"/>
      <c r="E505" s="46"/>
    </row>
    <row r="506" spans="2:6" x14ac:dyDescent="0.25">
      <c r="B506" s="4" t="s">
        <v>58</v>
      </c>
      <c r="C506" s="46"/>
      <c r="E506" s="46"/>
    </row>
    <row r="507" spans="2:6" x14ac:dyDescent="0.25">
      <c r="B507" s="4" t="s">
        <v>59</v>
      </c>
      <c r="C507" s="46"/>
      <c r="E507" s="46"/>
      <c r="F507">
        <v>1.998157908187032</v>
      </c>
    </row>
    <row r="508" spans="2:6" x14ac:dyDescent="0.25">
      <c r="B508" s="4" t="s">
        <v>60</v>
      </c>
      <c r="C508" s="46"/>
      <c r="E508" s="46"/>
      <c r="F508">
        <v>2.1359439390643789E-2</v>
      </c>
    </row>
    <row r="509" spans="2:6" x14ac:dyDescent="0.25">
      <c r="B509" s="4" t="s">
        <v>61</v>
      </c>
      <c r="C509" s="46"/>
      <c r="E509" s="46"/>
    </row>
    <row r="510" spans="2:6" x14ac:dyDescent="0.25">
      <c r="B510" s="4" t="s">
        <v>62</v>
      </c>
      <c r="C510" s="46"/>
      <c r="E510" s="46"/>
    </row>
    <row r="511" spans="2:6" x14ac:dyDescent="0.25">
      <c r="B511" s="4" t="s">
        <v>63</v>
      </c>
      <c r="C511" s="46"/>
      <c r="E511" s="46"/>
    </row>
    <row r="512" spans="2:6" x14ac:dyDescent="0.25">
      <c r="B512" s="4" t="s">
        <v>64</v>
      </c>
      <c r="C512" s="46"/>
      <c r="E512" s="46"/>
    </row>
    <row r="513" spans="2:13" x14ac:dyDescent="0.25">
      <c r="B513" s="4" t="s">
        <v>65</v>
      </c>
      <c r="C513" s="46"/>
      <c r="E513" s="46"/>
    </row>
    <row r="514" spans="2:13" x14ac:dyDescent="0.25">
      <c r="B514" s="4" t="s">
        <v>66</v>
      </c>
      <c r="C514" s="46"/>
      <c r="E514" s="46"/>
    </row>
    <row r="515" spans="2:13" x14ac:dyDescent="0.25">
      <c r="B515" s="4" t="s">
        <v>67</v>
      </c>
      <c r="C515" s="46">
        <v>-0.2352676762618478</v>
      </c>
      <c r="E515" s="46"/>
    </row>
    <row r="516" spans="2:13" x14ac:dyDescent="0.25">
      <c r="B516" s="4" t="s">
        <v>68</v>
      </c>
      <c r="C516" s="46"/>
      <c r="E516" s="46"/>
    </row>
    <row r="519" spans="2:13" x14ac:dyDescent="0.25">
      <c r="C519" s="51" t="s">
        <v>78</v>
      </c>
      <c r="D519" s="52"/>
      <c r="E519" s="52"/>
      <c r="F519" s="53"/>
      <c r="J519" s="54" t="s">
        <v>41</v>
      </c>
      <c r="K519" s="54"/>
      <c r="L519" s="54"/>
      <c r="M519" s="54"/>
    </row>
    <row r="520" spans="2:13" x14ac:dyDescent="0.25">
      <c r="C520" s="12">
        <v>1</v>
      </c>
      <c r="D520" s="13">
        <v>2</v>
      </c>
      <c r="E520" s="13">
        <v>3</v>
      </c>
      <c r="F520" s="14">
        <v>4</v>
      </c>
      <c r="G520" s="5"/>
      <c r="H520" s="5"/>
      <c r="I520" s="5"/>
      <c r="J520" s="9">
        <v>1</v>
      </c>
      <c r="K520" s="10">
        <v>2</v>
      </c>
      <c r="L520" s="10">
        <v>3</v>
      </c>
      <c r="M520" s="11">
        <v>4</v>
      </c>
    </row>
    <row r="521" spans="2:13" x14ac:dyDescent="0.25">
      <c r="B521" s="4" t="s">
        <v>33</v>
      </c>
      <c r="C521" s="46" t="s">
        <v>124</v>
      </c>
      <c r="D521" t="s">
        <v>125</v>
      </c>
      <c r="E521" s="46" t="s">
        <v>126</v>
      </c>
      <c r="F521" t="s">
        <v>127</v>
      </c>
      <c r="G521" t="s">
        <v>40</v>
      </c>
      <c r="H521" s="8" t="s">
        <v>0</v>
      </c>
      <c r="I521" s="15" t="s">
        <v>43</v>
      </c>
      <c r="J521" s="16" t="s">
        <v>42</v>
      </c>
      <c r="K521" s="16" t="s">
        <v>42</v>
      </c>
      <c r="L521" s="16" t="s">
        <v>42</v>
      </c>
      <c r="M521" s="17" t="s">
        <v>42</v>
      </c>
    </row>
    <row r="522" spans="2:13" x14ac:dyDescent="0.25">
      <c r="B522" s="4" t="s">
        <v>34</v>
      </c>
      <c r="C522" s="46">
        <v>3</v>
      </c>
      <c r="D522">
        <v>3</v>
      </c>
      <c r="E522" s="46">
        <v>3</v>
      </c>
      <c r="F522">
        <v>3</v>
      </c>
      <c r="H522" s="6">
        <v>0</v>
      </c>
      <c r="I522" s="19">
        <f>retornos!M2</f>
        <v>-3.9000000000000003E-3</v>
      </c>
      <c r="J522" s="20" cm="1">
        <f t="array" ref="J522">C527 + MMULT($P$4:$AY$4, IF(C528:C563="", 0, C528:C563))</f>
        <v>-5.0311367273675467E-3</v>
      </c>
      <c r="K522" s="20" cm="1">
        <f t="array" ref="K522">D527 + MMULT($P$4:$AY$4, IF(D528:D563="", 0, D528:D563))</f>
        <v>-6.5524646244226603E-3</v>
      </c>
      <c r="L522" s="20" cm="1">
        <f t="array" ref="L522">E527 + MMULT($P$4:$AY$4, IF(E528:E563="", 0, E528:E563))</f>
        <v>-6.7421937079495085E-3</v>
      </c>
      <c r="M522" s="20" cm="1">
        <f t="array" ref="M522">F527 + MMULT($P$4:$AY$4, IF(F528:F563="", 0, F528:F563))</f>
        <v>-6.5999255511782207E-3</v>
      </c>
    </row>
    <row r="523" spans="2:13" x14ac:dyDescent="0.25">
      <c r="B523" s="4" t="s">
        <v>35</v>
      </c>
      <c r="C523" s="46">
        <v>0.99997750641381244</v>
      </c>
      <c r="D523">
        <v>0.99990628474842602</v>
      </c>
      <c r="E523" s="46">
        <v>0.99989756032539256</v>
      </c>
      <c r="F523">
        <v>0.99989290265633712</v>
      </c>
      <c r="H523" s="7">
        <v>1</v>
      </c>
      <c r="I523" s="19">
        <f>retornos!M3</f>
        <v>-1.54E-2</v>
      </c>
      <c r="J523" s="20" cm="1">
        <f t="array" ref="J523">C527 + MMULT($P$5:$AY$5, IF(C528:C563="", 0, C528:C563))</f>
        <v>-1.397212352026167E-2</v>
      </c>
      <c r="K523" s="20" cm="1">
        <f t="array" ref="K523">D527 + MMULT($P$5:$AY$5, IF(D528:D563="", 0, D528:D563))</f>
        <v>-1.2821649506657318E-2</v>
      </c>
      <c r="L523" s="20" cm="1">
        <f t="array" ref="L523">E527 + MMULT($P$5:$AY$5, IF(E528:E563="", 0, E528:E563))</f>
        <v>-1.27286995160126E-2</v>
      </c>
      <c r="M523" s="20" cm="1">
        <f t="array" ref="M523">F527 + MMULT($P$5:$AY$5, IF(F528:F563="", 0, F528:F563))</f>
        <v>-1.2862216275565663E-2</v>
      </c>
    </row>
    <row r="524" spans="2:13" x14ac:dyDescent="0.25">
      <c r="B524" s="4" t="s">
        <v>36</v>
      </c>
      <c r="C524" s="46">
        <v>3.3453635843422769E-6</v>
      </c>
      <c r="D524">
        <v>1.39378215326337E-5</v>
      </c>
      <c r="E524" s="46">
        <v>1.523536327929573E-5</v>
      </c>
      <c r="F524">
        <v>1.5928076140485282E-5</v>
      </c>
      <c r="H524" s="7">
        <v>2</v>
      </c>
      <c r="I524" s="19">
        <f>retornos!M4</f>
        <v>0.48810000000000003</v>
      </c>
      <c r="J524" s="20" cm="1">
        <f t="array" ref="J524">C527 + MMULT($P$6:$AY$6, IF(C528:C563="", 0, C528:C563))</f>
        <v>0.48808373699475793</v>
      </c>
      <c r="K524" s="20" cm="1">
        <f t="array" ref="K524">D527 + MMULT($P$6:$AY$6, IF(D528:D563="", 0, D528:D563))</f>
        <v>0.48811541861395286</v>
      </c>
      <c r="L524" s="20" cm="1">
        <f t="array" ref="L524">E527 + MMULT($P$6:$AY$6, IF(E528:E563="", 0, E528:E563))</f>
        <v>0.48816185542721147</v>
      </c>
      <c r="M524" s="20" cm="1">
        <f t="array" ref="M524">F527 + MMULT($P$6:$AY$6, IF(F528:F563="", 0, F528:F563))</f>
        <v>0.48807919468839667</v>
      </c>
    </row>
    <row r="525" spans="2:13" x14ac:dyDescent="0.25">
      <c r="B525" s="4" t="s">
        <v>37</v>
      </c>
      <c r="C525" s="46">
        <v>-62.203867592521867</v>
      </c>
      <c r="D525">
        <v>-53.641683176424223</v>
      </c>
      <c r="E525" s="46">
        <v>-53.107604344581532</v>
      </c>
      <c r="F525">
        <v>-52.840819805533002</v>
      </c>
      <c r="H525" s="7">
        <v>3</v>
      </c>
      <c r="I525" s="19">
        <f>retornos!M5</f>
        <v>0.17379999999999998</v>
      </c>
      <c r="J525" s="20" cm="1">
        <f t="array" ref="J525">C527 + MMULT($P$7:$AY$7, IF(C528:C563="", 0, C528:C563))</f>
        <v>0.1737180461539225</v>
      </c>
      <c r="K525" s="20" cm="1">
        <f t="array" ref="K525">D527 + MMULT($P$7:$AY$7, IF(D528:D563="", 0, D528:D563))</f>
        <v>0.17363721324243303</v>
      </c>
      <c r="L525" s="20" cm="1">
        <f t="array" ref="L525">E527 + MMULT($P$7:$AY$7, IF(E528:E563="", 0, E528:E563))</f>
        <v>0.17386975141503497</v>
      </c>
      <c r="M525" s="20" cm="1">
        <f t="array" ref="M525">F527 + MMULT($P$7:$AY$7, IF(F528:F563="", 0, F528:F563))</f>
        <v>0.17332559669106559</v>
      </c>
    </row>
    <row r="526" spans="2:13" x14ac:dyDescent="0.25">
      <c r="B526" s="4" t="s">
        <v>38</v>
      </c>
      <c r="C526" s="46">
        <v>1.349612135487391E-5</v>
      </c>
      <c r="D526">
        <v>5.6228623988130593E-5</v>
      </c>
      <c r="E526" s="46">
        <v>6.1463175126905874E-5</v>
      </c>
      <c r="F526">
        <v>6.4257718002399105E-5</v>
      </c>
      <c r="H526" s="7">
        <v>4</v>
      </c>
      <c r="I526" s="19">
        <f>retornos!M6</f>
        <v>-7.4299999999999991E-2</v>
      </c>
      <c r="J526" s="20" cm="1">
        <f t="array" ref="J526">C527 + MMULT($P$8:$AY$8, IF(C528:C563="", 0, C528:C563))</f>
        <v>-7.4412962866594823E-2</v>
      </c>
      <c r="K526" s="20" cm="1">
        <f t="array" ref="K526">D527 + MMULT($P$8:$AY$8, IF(D528:D563="", 0, D528:D563))</f>
        <v>-7.387059193527995E-2</v>
      </c>
      <c r="L526" s="20" cm="1">
        <f t="array" ref="L526">E527 + MMULT($P$8:$AY$8, IF(E528:E563="", 0, E528:E563))</f>
        <v>-7.4357780534083762E-2</v>
      </c>
      <c r="M526" s="20" cm="1">
        <f t="array" ref="M526">F527 + MMULT($P$8:$AY$8, IF(F528:F563="", 0, F528:F563))</f>
        <v>-7.3034151963910388E-2</v>
      </c>
    </row>
    <row r="527" spans="2:13" x14ac:dyDescent="0.25">
      <c r="B527" s="4" t="s">
        <v>39</v>
      </c>
      <c r="C527" s="46">
        <v>-0.64656651466719439</v>
      </c>
      <c r="D527">
        <v>-8.4307602459290087E-2</v>
      </c>
      <c r="E527" s="46">
        <v>-3.5528301129960103E-2</v>
      </c>
      <c r="F527">
        <v>-0.14550649632715931</v>
      </c>
      <c r="H527" s="7">
        <v>5</v>
      </c>
      <c r="I527" s="19">
        <f>retornos!M7</f>
        <v>-0.32750000000000001</v>
      </c>
      <c r="J527" s="20" cm="1">
        <f t="array" ref="J527">C527 + MMULT($P$9:$AY$9, IF(C528:C563="", 0, C528:C563))</f>
        <v>-0.32758556003446049</v>
      </c>
      <c r="K527" s="20" cm="1">
        <f t="array" ref="K527">D527 + MMULT($P$9:$AY$9, IF(D528:D563="", 0, D528:D563))</f>
        <v>-0.32770792579002533</v>
      </c>
      <c r="L527" s="20" cm="1">
        <f t="array" ref="L527">E527 + MMULT($P$9:$AY$9, IF(E528:E563="", 0, E528:E563))</f>
        <v>-0.32740293308420093</v>
      </c>
      <c r="M527" s="20" cm="1">
        <f t="array" ref="M527">F527 + MMULT($P$9:$AY$9, IF(F528:F563="", 0, F528:F563))</f>
        <v>-0.32810849758880822</v>
      </c>
    </row>
    <row r="528" spans="2:13" x14ac:dyDescent="0.25">
      <c r="B528" s="4" t="s">
        <v>16</v>
      </c>
      <c r="C528" s="46"/>
      <c r="E528" s="46"/>
      <c r="H528" s="7">
        <v>6</v>
      </c>
      <c r="I528" s="19">
        <f>retornos!M8</f>
        <v>0</v>
      </c>
      <c r="J528" s="20" cm="1">
        <f t="array" ref="J528">C527 + MMULT($P$10:$AY$10, IF(C528:C563="", 0, C528:C563))</f>
        <v>0.12221481650759125</v>
      </c>
      <c r="K528" s="20" cm="1">
        <f t="array" ref="K528">D527 + MMULT($P$10:$AY$10, IF(D528:D563="", 0, D528:D563))</f>
        <v>-0.12855692452355666</v>
      </c>
      <c r="L528" s="20" cm="1">
        <f t="array" ref="L528">E527 + MMULT($P$10:$AY$10, IF(E528:E563="", 0, E528:E563))</f>
        <v>-2.6005514775097945E-2</v>
      </c>
      <c r="M528" s="20" cm="1">
        <f t="array" ref="M528">F527 + MMULT($P$10:$AY$10, IF(F528:F563="", 0, F528:F563))</f>
        <v>-0.10786593375055886</v>
      </c>
    </row>
    <row r="529" spans="2:6" x14ac:dyDescent="0.25">
      <c r="B529" s="4" t="s">
        <v>13</v>
      </c>
      <c r="C529" s="46"/>
      <c r="E529" s="46"/>
    </row>
    <row r="530" spans="2:6" x14ac:dyDescent="0.25">
      <c r="B530" s="4" t="s">
        <v>17</v>
      </c>
      <c r="C530" s="46"/>
      <c r="E530" s="46"/>
    </row>
    <row r="531" spans="2:6" x14ac:dyDescent="0.25">
      <c r="B531" s="4" t="s">
        <v>14</v>
      </c>
      <c r="C531" s="46"/>
      <c r="E531" s="46"/>
    </row>
    <row r="532" spans="2:6" x14ac:dyDescent="0.25">
      <c r="B532" s="4" t="s">
        <v>15</v>
      </c>
      <c r="C532" s="46">
        <v>21.573725950408662</v>
      </c>
      <c r="E532" s="46"/>
    </row>
    <row r="533" spans="2:6" x14ac:dyDescent="0.25">
      <c r="B533" s="4" t="s">
        <v>21</v>
      </c>
      <c r="C533" s="46"/>
      <c r="D533">
        <v>12.53836976446939</v>
      </c>
      <c r="E533" s="46"/>
      <c r="F533">
        <v>12.52458144877491</v>
      </c>
    </row>
    <row r="534" spans="2:6" x14ac:dyDescent="0.25">
      <c r="B534" s="4" t="s">
        <v>22</v>
      </c>
      <c r="C534" s="46"/>
      <c r="E534" s="46"/>
    </row>
    <row r="535" spans="2:6" x14ac:dyDescent="0.25">
      <c r="B535" s="4" t="s">
        <v>23</v>
      </c>
      <c r="C535" s="46"/>
      <c r="E535" s="46"/>
    </row>
    <row r="536" spans="2:6" x14ac:dyDescent="0.25">
      <c r="B536" s="4" t="s">
        <v>18</v>
      </c>
      <c r="C536" s="46">
        <v>-1.4211183352687911</v>
      </c>
      <c r="E536" s="46"/>
    </row>
    <row r="537" spans="2:6" x14ac:dyDescent="0.25">
      <c r="B537" s="4" t="s">
        <v>24</v>
      </c>
      <c r="C537" s="46"/>
      <c r="E537" s="46"/>
    </row>
    <row r="538" spans="2:6" x14ac:dyDescent="0.25">
      <c r="B538" s="4" t="s">
        <v>25</v>
      </c>
      <c r="C538" s="46"/>
      <c r="E538" s="46"/>
    </row>
    <row r="539" spans="2:6" x14ac:dyDescent="0.25">
      <c r="B539" s="4" t="s">
        <v>26</v>
      </c>
      <c r="C539" s="46"/>
      <c r="E539" s="46"/>
    </row>
    <row r="540" spans="2:6" x14ac:dyDescent="0.25">
      <c r="B540" s="4" t="s">
        <v>27</v>
      </c>
      <c r="C540" s="46"/>
      <c r="E540" s="46"/>
    </row>
    <row r="541" spans="2:6" x14ac:dyDescent="0.25">
      <c r="B541" s="4" t="s">
        <v>28</v>
      </c>
      <c r="C541" s="46"/>
      <c r="E541" s="46"/>
    </row>
    <row r="542" spans="2:6" x14ac:dyDescent="0.25">
      <c r="B542" s="4" t="s">
        <v>29</v>
      </c>
      <c r="C542" s="46"/>
      <c r="E542" s="46">
        <v>0.2454467381305877</v>
      </c>
    </row>
    <row r="543" spans="2:6" x14ac:dyDescent="0.25">
      <c r="B543" s="4" t="s">
        <v>30</v>
      </c>
      <c r="C543" s="46"/>
      <c r="E543" s="46"/>
    </row>
    <row r="544" spans="2:6" x14ac:dyDescent="0.25">
      <c r="B544" s="4" t="s">
        <v>31</v>
      </c>
      <c r="C544" s="46"/>
      <c r="E544" s="46"/>
    </row>
    <row r="545" spans="2:6" x14ac:dyDescent="0.25">
      <c r="B545" s="4" t="s">
        <v>32</v>
      </c>
      <c r="C545" s="46"/>
      <c r="E545" s="46"/>
    </row>
    <row r="546" spans="2:6" x14ac:dyDescent="0.25">
      <c r="B546" s="4" t="s">
        <v>51</v>
      </c>
      <c r="C546" s="46">
        <v>3.7494287689740222</v>
      </c>
      <c r="E546" s="46"/>
    </row>
    <row r="547" spans="2:6" x14ac:dyDescent="0.25">
      <c r="B547" s="4" t="s">
        <v>52</v>
      </c>
      <c r="C547" s="46"/>
      <c r="E547" s="46"/>
    </row>
    <row r="548" spans="2:6" x14ac:dyDescent="0.25">
      <c r="B548" s="4" t="s">
        <v>53</v>
      </c>
      <c r="C548" s="46"/>
      <c r="D548">
        <v>-8.9640721168377517</v>
      </c>
      <c r="E548" s="46"/>
    </row>
    <row r="549" spans="2:6" x14ac:dyDescent="0.25">
      <c r="B549" s="4" t="s">
        <v>54</v>
      </c>
      <c r="C549" s="46"/>
      <c r="E549" s="46"/>
    </row>
    <row r="550" spans="2:6" x14ac:dyDescent="0.25">
      <c r="B550" s="4" t="s">
        <v>55</v>
      </c>
      <c r="C550" s="46"/>
      <c r="E550" s="46">
        <v>1.028075265071807</v>
      </c>
    </row>
    <row r="551" spans="2:6" x14ac:dyDescent="0.25">
      <c r="B551" s="4" t="s">
        <v>56</v>
      </c>
      <c r="C551" s="46"/>
      <c r="E551" s="46"/>
    </row>
    <row r="552" spans="2:6" x14ac:dyDescent="0.25">
      <c r="B552" s="4" t="s">
        <v>57</v>
      </c>
      <c r="C552" s="46"/>
      <c r="E552" s="46"/>
    </row>
    <row r="553" spans="2:6" x14ac:dyDescent="0.25">
      <c r="B553" s="4" t="s">
        <v>58</v>
      </c>
      <c r="C553" s="46"/>
      <c r="E553" s="46"/>
      <c r="F553">
        <v>-5.8923674461952276</v>
      </c>
    </row>
    <row r="554" spans="2:6" x14ac:dyDescent="0.25">
      <c r="B554" s="4" t="s">
        <v>59</v>
      </c>
      <c r="C554" s="46"/>
      <c r="E554" s="46"/>
    </row>
    <row r="555" spans="2:6" x14ac:dyDescent="0.25">
      <c r="B555" s="4" t="s">
        <v>60</v>
      </c>
      <c r="C555" s="46"/>
      <c r="E555" s="46"/>
    </row>
    <row r="556" spans="2:6" x14ac:dyDescent="0.25">
      <c r="B556" s="4" t="s">
        <v>61</v>
      </c>
      <c r="C556" s="46"/>
      <c r="E556" s="46"/>
    </row>
    <row r="557" spans="2:6" x14ac:dyDescent="0.25">
      <c r="B557" s="4" t="s">
        <v>62</v>
      </c>
      <c r="C557" s="46"/>
      <c r="E557" s="46"/>
    </row>
    <row r="558" spans="2:6" x14ac:dyDescent="0.25">
      <c r="B558" s="4" t="s">
        <v>63</v>
      </c>
      <c r="C558" s="46"/>
      <c r="E558" s="46"/>
    </row>
    <row r="559" spans="2:6" x14ac:dyDescent="0.25">
      <c r="B559" s="4" t="s">
        <v>64</v>
      </c>
      <c r="C559" s="46"/>
      <c r="D559">
        <v>0.33165286385809217</v>
      </c>
      <c r="E559" s="46">
        <v>0.38745758228586669</v>
      </c>
      <c r="F559">
        <v>0.28683475714669782</v>
      </c>
    </row>
    <row r="560" spans="2:6" x14ac:dyDescent="0.25">
      <c r="B560" s="4" t="s">
        <v>65</v>
      </c>
      <c r="C560" s="46"/>
      <c r="E560" s="46"/>
    </row>
    <row r="561" spans="2:13" x14ac:dyDescent="0.25">
      <c r="B561" s="4" t="s">
        <v>66</v>
      </c>
      <c r="C561" s="46"/>
      <c r="E561" s="46"/>
    </row>
    <row r="562" spans="2:13" x14ac:dyDescent="0.25">
      <c r="B562" s="4" t="s">
        <v>67</v>
      </c>
      <c r="C562" s="46"/>
      <c r="E562" s="46"/>
    </row>
    <row r="563" spans="2:13" x14ac:dyDescent="0.25">
      <c r="B563" s="4" t="s">
        <v>68</v>
      </c>
      <c r="C563" s="46"/>
      <c r="E563" s="46"/>
    </row>
    <row r="567" spans="2:13" x14ac:dyDescent="0.25">
      <c r="C567" s="51" t="s">
        <v>79</v>
      </c>
      <c r="D567" s="52"/>
      <c r="E567" s="52"/>
      <c r="F567" s="53"/>
      <c r="J567" s="54" t="s">
        <v>41</v>
      </c>
      <c r="K567" s="54"/>
      <c r="L567" s="54"/>
      <c r="M567" s="54"/>
    </row>
    <row r="568" spans="2:13" x14ac:dyDescent="0.25">
      <c r="C568" s="12">
        <v>1</v>
      </c>
      <c r="D568" s="13">
        <v>2</v>
      </c>
      <c r="E568" s="13">
        <v>3</v>
      </c>
      <c r="F568" s="14">
        <v>4</v>
      </c>
      <c r="G568" s="5"/>
      <c r="H568" s="5"/>
      <c r="I568" s="5"/>
      <c r="J568" s="9">
        <v>1</v>
      </c>
      <c r="K568" s="10">
        <v>2</v>
      </c>
      <c r="L568" s="10">
        <v>3</v>
      </c>
      <c r="M568" s="11">
        <v>4</v>
      </c>
    </row>
    <row r="569" spans="2:13" x14ac:dyDescent="0.25">
      <c r="B569" s="4" t="s">
        <v>33</v>
      </c>
      <c r="C569" s="46" t="s">
        <v>124</v>
      </c>
      <c r="D569" t="s">
        <v>125</v>
      </c>
      <c r="E569" s="46" t="s">
        <v>126</v>
      </c>
      <c r="F569" t="s">
        <v>127</v>
      </c>
      <c r="G569" t="s">
        <v>40</v>
      </c>
      <c r="H569" s="8" t="s">
        <v>0</v>
      </c>
      <c r="I569" s="15" t="s">
        <v>43</v>
      </c>
      <c r="J569" s="16" t="s">
        <v>42</v>
      </c>
      <c r="K569" s="16" t="s">
        <v>42</v>
      </c>
      <c r="L569" s="16" t="s">
        <v>42</v>
      </c>
      <c r="M569" s="17" t="s">
        <v>42</v>
      </c>
    </row>
    <row r="570" spans="2:13" x14ac:dyDescent="0.25">
      <c r="B570" s="4" t="s">
        <v>34</v>
      </c>
      <c r="C570" s="46">
        <v>3</v>
      </c>
      <c r="D570">
        <v>3</v>
      </c>
      <c r="E570" s="46">
        <v>3</v>
      </c>
      <c r="F570">
        <v>3</v>
      </c>
      <c r="H570" s="6">
        <v>0</v>
      </c>
      <c r="I570" s="19">
        <f>retornos!N2</f>
        <v>3.9000000000000003E-3</v>
      </c>
      <c r="J570" s="20" cm="1">
        <f t="array" ref="J570">C575 + MMULT($P$4:$AY$4, IF(C576:C611="", 0, C576:C611))</f>
        <v>5.0311367273675467E-3</v>
      </c>
      <c r="K570" s="20" cm="1">
        <f t="array" ref="K570">D575 + MMULT($P$4:$AY$4, IF(D576:D611="", 0, D576:D611))</f>
        <v>6.5524646244226603E-3</v>
      </c>
      <c r="L570" s="20" cm="1">
        <f t="array" ref="L570">E575 + MMULT($P$4:$AY$4, IF(E576:E611="", 0, E576:E611))</f>
        <v>6.7421937079495085E-3</v>
      </c>
      <c r="M570" s="20" cm="1">
        <f t="array" ref="M570">F575 + MMULT($P$4:$AY$4, IF(F576:F611="", 0, F576:F611))</f>
        <v>6.5999255511782207E-3</v>
      </c>
    </row>
    <row r="571" spans="2:13" x14ac:dyDescent="0.25">
      <c r="B571" s="4" t="s">
        <v>35</v>
      </c>
      <c r="C571" s="46">
        <v>0.99997750641381244</v>
      </c>
      <c r="D571">
        <v>0.99990628474842602</v>
      </c>
      <c r="E571" s="46">
        <v>0.99989756032539256</v>
      </c>
      <c r="F571">
        <v>0.99989290265633712</v>
      </c>
      <c r="H571" s="7">
        <v>1</v>
      </c>
      <c r="I571" s="19">
        <f>retornos!N3</f>
        <v>1.54E-2</v>
      </c>
      <c r="J571" s="20" cm="1">
        <f t="array" ref="J571">C575 + MMULT($P$5:$AY$5, IF(C576:C611="", 0, C576:C611))</f>
        <v>1.397212352026167E-2</v>
      </c>
      <c r="K571" s="20" cm="1">
        <f t="array" ref="K571">D575 + MMULT($P$5:$AY$5, IF(D576:D611="", 0, D576:D611))</f>
        <v>1.2821649506657318E-2</v>
      </c>
      <c r="L571" s="20" cm="1">
        <f t="array" ref="L571">E575 + MMULT($P$5:$AY$5, IF(E576:E611="", 0, E576:E611))</f>
        <v>1.27286995160126E-2</v>
      </c>
      <c r="M571" s="20" cm="1">
        <f t="array" ref="M571">F575 + MMULT($P$5:$AY$5, IF(F576:F611="", 0, F576:F611))</f>
        <v>1.2862216275565663E-2</v>
      </c>
    </row>
    <row r="572" spans="2:13" x14ac:dyDescent="0.25">
      <c r="B572" s="4" t="s">
        <v>36</v>
      </c>
      <c r="C572" s="46">
        <v>3.3453635843422769E-6</v>
      </c>
      <c r="D572">
        <v>1.39378215326337E-5</v>
      </c>
      <c r="E572" s="46">
        <v>1.523536327929573E-5</v>
      </c>
      <c r="F572">
        <v>1.5928076140485282E-5</v>
      </c>
      <c r="H572" s="7">
        <v>2</v>
      </c>
      <c r="I572" s="19">
        <f>retornos!N4</f>
        <v>-0.48810000000000003</v>
      </c>
      <c r="J572" s="20" cm="1">
        <f t="array" ref="J572">C575 + MMULT($P$6:$AY$6, IF(C576:C611="", 0, C576:C611))</f>
        <v>-0.48808373699475793</v>
      </c>
      <c r="K572" s="20" cm="1">
        <f t="array" ref="K572">D575 + MMULT($P$6:$AY$6, IF(D576:D611="", 0, D576:D611))</f>
        <v>-0.48811541861395286</v>
      </c>
      <c r="L572" s="20" cm="1">
        <f t="array" ref="L572">E575 + MMULT($P$6:$AY$6, IF(E576:E611="", 0, E576:E611))</f>
        <v>-0.48816185542721147</v>
      </c>
      <c r="M572" s="20" cm="1">
        <f t="array" ref="M572">F575 + MMULT($P$6:$AY$6, IF(F576:F611="", 0, F576:F611))</f>
        <v>-0.48807919468839667</v>
      </c>
    </row>
    <row r="573" spans="2:13" x14ac:dyDescent="0.25">
      <c r="B573" s="4" t="s">
        <v>37</v>
      </c>
      <c r="C573" s="46">
        <v>-62.203867592521867</v>
      </c>
      <c r="D573">
        <v>-53.641683176424223</v>
      </c>
      <c r="E573" s="46">
        <v>-53.107604344581532</v>
      </c>
      <c r="F573">
        <v>-52.840819805533002</v>
      </c>
      <c r="H573" s="7">
        <v>3</v>
      </c>
      <c r="I573" s="19">
        <f>retornos!N5</f>
        <v>-0.17379999999999998</v>
      </c>
      <c r="J573" s="20" cm="1">
        <f t="array" ref="J573">C575 + MMULT($P$7:$AY$7, IF(C576:C611="", 0, C576:C611))</f>
        <v>-0.1737180461539225</v>
      </c>
      <c r="K573" s="20" cm="1">
        <f t="array" ref="K573">D575 + MMULT($P$7:$AY$7, IF(D576:D611="", 0, D576:D611))</f>
        <v>-0.17363721324243303</v>
      </c>
      <c r="L573" s="20" cm="1">
        <f t="array" ref="L573">E575 + MMULT($P$7:$AY$7, IF(E576:E611="", 0, E576:E611))</f>
        <v>-0.17386975141503497</v>
      </c>
      <c r="M573" s="20" cm="1">
        <f t="array" ref="M573">F575 + MMULT($P$7:$AY$7, IF(F576:F611="", 0, F576:F611))</f>
        <v>-0.17332559669106559</v>
      </c>
    </row>
    <row r="574" spans="2:13" x14ac:dyDescent="0.25">
      <c r="B574" s="4" t="s">
        <v>38</v>
      </c>
      <c r="C574" s="46">
        <v>1.349612135487391E-5</v>
      </c>
      <c r="D574">
        <v>5.6228623988130593E-5</v>
      </c>
      <c r="E574" s="46">
        <v>6.1463175126905874E-5</v>
      </c>
      <c r="F574">
        <v>6.4257718002399105E-5</v>
      </c>
      <c r="H574" s="7">
        <v>4</v>
      </c>
      <c r="I574" s="19">
        <f>retornos!N6</f>
        <v>7.4299999999999991E-2</v>
      </c>
      <c r="J574" s="20" cm="1">
        <f t="array" ref="J574">C575 + MMULT($P$8:$AY$8, IF(C576:C611="", 0, C576:C611))</f>
        <v>7.4412962866594823E-2</v>
      </c>
      <c r="K574" s="20" cm="1">
        <f t="array" ref="K574">D575 + MMULT($P$8:$AY$8, IF(D576:D611="", 0, D576:D611))</f>
        <v>7.387059193527995E-2</v>
      </c>
      <c r="L574" s="20" cm="1">
        <f t="array" ref="L574">E575 + MMULT($P$8:$AY$8, IF(E576:E611="", 0, E576:E611))</f>
        <v>7.4357780534083762E-2</v>
      </c>
      <c r="M574" s="20" cm="1">
        <f t="array" ref="M574">F575 + MMULT($P$8:$AY$8, IF(F576:F611="", 0, F576:F611))</f>
        <v>7.3034151963910388E-2</v>
      </c>
    </row>
    <row r="575" spans="2:13" x14ac:dyDescent="0.25">
      <c r="B575" s="4" t="s">
        <v>39</v>
      </c>
      <c r="C575" s="46">
        <v>0.64656651466719439</v>
      </c>
      <c r="D575">
        <v>8.4307602459290087E-2</v>
      </c>
      <c r="E575" s="46">
        <v>3.5528301129960103E-2</v>
      </c>
      <c r="F575">
        <v>0.14550649632715931</v>
      </c>
      <c r="H575" s="7">
        <v>5</v>
      </c>
      <c r="I575" s="19">
        <f>retornos!N7</f>
        <v>0.32750000000000001</v>
      </c>
      <c r="J575" s="20" cm="1">
        <f t="array" ref="J575">C575 + MMULT($P$9:$AY$9, IF(C576:C611="", 0, C576:C611))</f>
        <v>0.32758556003446049</v>
      </c>
      <c r="K575" s="20" cm="1">
        <f t="array" ref="K575">D575 + MMULT($P$9:$AY$9, IF(D576:D611="", 0, D576:D611))</f>
        <v>0.32770792579002533</v>
      </c>
      <c r="L575" s="20" cm="1">
        <f t="array" ref="L575">E575 + MMULT($P$9:$AY$9, IF(E576:E611="", 0, E576:E611))</f>
        <v>0.32740293308420093</v>
      </c>
      <c r="M575" s="20" cm="1">
        <f t="array" ref="M575">F575 + MMULT($P$9:$AY$9, IF(F576:F611="", 0, F576:F611))</f>
        <v>0.32810849758880822</v>
      </c>
    </row>
    <row r="576" spans="2:13" x14ac:dyDescent="0.25">
      <c r="B576" s="4" t="s">
        <v>16</v>
      </c>
      <c r="C576" s="46"/>
      <c r="E576" s="46"/>
      <c r="H576" s="7">
        <v>6</v>
      </c>
      <c r="I576" s="19">
        <f>retornos!N8</f>
        <v>0</v>
      </c>
      <c r="J576" s="20" cm="1">
        <f t="array" ref="J576">C575 + MMULT($P$10:$AY$10, IF(C576:C611="", 0, C576:C611))</f>
        <v>-0.12221481650759125</v>
      </c>
      <c r="K576" s="20" cm="1">
        <f t="array" ref="K576">D575 + MMULT($P$10:$AY$10, IF(D576:D611="", 0, D576:D611))</f>
        <v>0.12855692452355666</v>
      </c>
      <c r="L576" s="20" cm="1">
        <f t="array" ref="L576">E575 + MMULT($P$10:$AY$10, IF(E576:E611="", 0, E576:E611))</f>
        <v>2.6005514775097945E-2</v>
      </c>
      <c r="M576" s="20" cm="1">
        <f t="array" ref="M576">F575 + MMULT($P$10:$AY$10, IF(F576:F611="", 0, F576:F611))</f>
        <v>0.10786593375055886</v>
      </c>
    </row>
    <row r="577" spans="2:6" x14ac:dyDescent="0.25">
      <c r="B577" s="4" t="s">
        <v>13</v>
      </c>
      <c r="C577" s="46"/>
      <c r="E577" s="46"/>
    </row>
    <row r="578" spans="2:6" x14ac:dyDescent="0.25">
      <c r="B578" s="4" t="s">
        <v>17</v>
      </c>
      <c r="C578" s="46"/>
      <c r="E578" s="46"/>
    </row>
    <row r="579" spans="2:6" x14ac:dyDescent="0.25">
      <c r="B579" s="4" t="s">
        <v>14</v>
      </c>
      <c r="C579" s="46"/>
      <c r="E579" s="46"/>
    </row>
    <row r="580" spans="2:6" x14ac:dyDescent="0.25">
      <c r="B580" s="4" t="s">
        <v>15</v>
      </c>
      <c r="C580" s="46">
        <v>-21.573725950408662</v>
      </c>
      <c r="E580" s="46"/>
    </row>
    <row r="581" spans="2:6" x14ac:dyDescent="0.25">
      <c r="B581" s="4" t="s">
        <v>21</v>
      </c>
      <c r="C581" s="46"/>
      <c r="D581">
        <v>-12.53836976446939</v>
      </c>
      <c r="E581" s="46"/>
      <c r="F581">
        <v>-12.52458144877491</v>
      </c>
    </row>
    <row r="582" spans="2:6" x14ac:dyDescent="0.25">
      <c r="B582" s="4" t="s">
        <v>22</v>
      </c>
      <c r="C582" s="46"/>
      <c r="E582" s="46"/>
    </row>
    <row r="583" spans="2:6" x14ac:dyDescent="0.25">
      <c r="B583" s="4" t="s">
        <v>23</v>
      </c>
      <c r="C583" s="46"/>
      <c r="E583" s="46"/>
    </row>
    <row r="584" spans="2:6" x14ac:dyDescent="0.25">
      <c r="B584" s="4" t="s">
        <v>18</v>
      </c>
      <c r="C584" s="46">
        <v>1.4211183352687911</v>
      </c>
      <c r="E584" s="46"/>
    </row>
    <row r="585" spans="2:6" x14ac:dyDescent="0.25">
      <c r="B585" s="4" t="s">
        <v>24</v>
      </c>
      <c r="C585" s="46"/>
      <c r="E585" s="46"/>
    </row>
    <row r="586" spans="2:6" x14ac:dyDescent="0.25">
      <c r="B586" s="4" t="s">
        <v>25</v>
      </c>
      <c r="C586" s="46"/>
      <c r="E586" s="46"/>
    </row>
    <row r="587" spans="2:6" x14ac:dyDescent="0.25">
      <c r="B587" s="4" t="s">
        <v>26</v>
      </c>
      <c r="C587" s="46"/>
      <c r="E587" s="46"/>
    </row>
    <row r="588" spans="2:6" x14ac:dyDescent="0.25">
      <c r="B588" s="4" t="s">
        <v>27</v>
      </c>
      <c r="C588" s="46"/>
      <c r="E588" s="46"/>
    </row>
    <row r="589" spans="2:6" x14ac:dyDescent="0.25">
      <c r="B589" s="4" t="s">
        <v>28</v>
      </c>
      <c r="C589" s="46"/>
      <c r="E589" s="46"/>
    </row>
    <row r="590" spans="2:6" x14ac:dyDescent="0.25">
      <c r="B590" s="4" t="s">
        <v>29</v>
      </c>
      <c r="C590" s="46"/>
      <c r="E590" s="46">
        <v>-0.2454467381305877</v>
      </c>
    </row>
    <row r="591" spans="2:6" x14ac:dyDescent="0.25">
      <c r="B591" s="4" t="s">
        <v>30</v>
      </c>
      <c r="C591" s="46"/>
      <c r="E591" s="46"/>
    </row>
    <row r="592" spans="2:6" x14ac:dyDescent="0.25">
      <c r="B592" s="4" t="s">
        <v>31</v>
      </c>
      <c r="C592" s="46"/>
      <c r="E592" s="46"/>
    </row>
    <row r="593" spans="2:6" x14ac:dyDescent="0.25">
      <c r="B593" s="4" t="s">
        <v>32</v>
      </c>
      <c r="C593" s="46"/>
      <c r="E593" s="46"/>
    </row>
    <row r="594" spans="2:6" x14ac:dyDescent="0.25">
      <c r="B594" s="4" t="s">
        <v>51</v>
      </c>
      <c r="C594" s="46">
        <v>-3.7494287689740222</v>
      </c>
      <c r="E594" s="46"/>
    </row>
    <row r="595" spans="2:6" x14ac:dyDescent="0.25">
      <c r="B595" s="4" t="s">
        <v>52</v>
      </c>
      <c r="C595" s="46"/>
      <c r="E595" s="46"/>
    </row>
    <row r="596" spans="2:6" x14ac:dyDescent="0.25">
      <c r="B596" s="4" t="s">
        <v>53</v>
      </c>
      <c r="C596" s="46"/>
      <c r="D596">
        <v>8.9640721168377517</v>
      </c>
      <c r="E596" s="46"/>
    </row>
    <row r="597" spans="2:6" x14ac:dyDescent="0.25">
      <c r="B597" s="4" t="s">
        <v>54</v>
      </c>
      <c r="C597" s="46"/>
      <c r="E597" s="46"/>
    </row>
    <row r="598" spans="2:6" x14ac:dyDescent="0.25">
      <c r="B598" s="4" t="s">
        <v>55</v>
      </c>
      <c r="C598" s="46"/>
      <c r="E598" s="46">
        <v>-1.028075265071807</v>
      </c>
    </row>
    <row r="599" spans="2:6" x14ac:dyDescent="0.25">
      <c r="B599" s="4" t="s">
        <v>56</v>
      </c>
      <c r="C599" s="46"/>
      <c r="E599" s="46"/>
    </row>
    <row r="600" spans="2:6" x14ac:dyDescent="0.25">
      <c r="B600" s="4" t="s">
        <v>57</v>
      </c>
      <c r="C600" s="46"/>
      <c r="E600" s="46"/>
    </row>
    <row r="601" spans="2:6" x14ac:dyDescent="0.25">
      <c r="B601" s="4" t="s">
        <v>58</v>
      </c>
      <c r="C601" s="46"/>
      <c r="E601" s="46"/>
      <c r="F601">
        <v>5.8923674461952276</v>
      </c>
    </row>
    <row r="602" spans="2:6" x14ac:dyDescent="0.25">
      <c r="B602" s="4" t="s">
        <v>59</v>
      </c>
      <c r="C602" s="46"/>
      <c r="E602" s="46"/>
    </row>
    <row r="603" spans="2:6" x14ac:dyDescent="0.25">
      <c r="B603" s="4" t="s">
        <v>60</v>
      </c>
      <c r="C603" s="46"/>
      <c r="E603" s="46"/>
    </row>
    <row r="604" spans="2:6" x14ac:dyDescent="0.25">
      <c r="B604" s="4" t="s">
        <v>61</v>
      </c>
      <c r="C604" s="46"/>
      <c r="E604" s="46"/>
    </row>
    <row r="605" spans="2:6" x14ac:dyDescent="0.25">
      <c r="B605" s="4" t="s">
        <v>62</v>
      </c>
      <c r="C605" s="46"/>
      <c r="E605" s="46"/>
    </row>
    <row r="606" spans="2:6" x14ac:dyDescent="0.25">
      <c r="B606" s="4" t="s">
        <v>63</v>
      </c>
      <c r="C606" s="46"/>
      <c r="E606" s="46"/>
    </row>
    <row r="607" spans="2:6" x14ac:dyDescent="0.25">
      <c r="B607" s="4" t="s">
        <v>64</v>
      </c>
      <c r="C607" s="46"/>
      <c r="D607">
        <v>-0.33165286385809217</v>
      </c>
      <c r="E607" s="46">
        <v>-0.38745758228586669</v>
      </c>
      <c r="F607">
        <v>-0.28683475714669782</v>
      </c>
    </row>
    <row r="608" spans="2:6" x14ac:dyDescent="0.25">
      <c r="B608" s="4" t="s">
        <v>65</v>
      </c>
      <c r="C608" s="46"/>
      <c r="E608" s="46"/>
    </row>
    <row r="609" spans="2:5" x14ac:dyDescent="0.25">
      <c r="B609" s="4" t="s">
        <v>66</v>
      </c>
      <c r="C609" s="46"/>
      <c r="E609" s="46"/>
    </row>
    <row r="610" spans="2:5" x14ac:dyDescent="0.25">
      <c r="B610" s="4" t="s">
        <v>67</v>
      </c>
      <c r="C610" s="46"/>
      <c r="E610" s="46"/>
    </row>
    <row r="611" spans="2:5" x14ac:dyDescent="0.25">
      <c r="B611" s="4" t="s">
        <v>68</v>
      </c>
      <c r="C611" s="46"/>
      <c r="E611" s="46"/>
    </row>
  </sheetData>
  <mergeCells count="26">
    <mergeCell ref="C331:F331"/>
    <mergeCell ref="J331:M331"/>
    <mergeCell ref="C2:F2"/>
    <mergeCell ref="J2:M2"/>
    <mergeCell ref="C49:F49"/>
    <mergeCell ref="J49:M49"/>
    <mergeCell ref="C96:F96"/>
    <mergeCell ref="J96:M96"/>
    <mergeCell ref="C143:F143"/>
    <mergeCell ref="J143:M143"/>
    <mergeCell ref="C190:F190"/>
    <mergeCell ref="J190:M190"/>
    <mergeCell ref="C237:F237"/>
    <mergeCell ref="J237:M237"/>
    <mergeCell ref="C284:F284"/>
    <mergeCell ref="J284:M284"/>
    <mergeCell ref="C567:F567"/>
    <mergeCell ref="J567:M567"/>
    <mergeCell ref="C519:F519"/>
    <mergeCell ref="J519:M519"/>
    <mergeCell ref="C378:F378"/>
    <mergeCell ref="J378:M378"/>
    <mergeCell ref="C425:F425"/>
    <mergeCell ref="J425:M425"/>
    <mergeCell ref="C472:F472"/>
    <mergeCell ref="J472:M472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1B196-E38F-401A-95FA-3939156ADB74}">
  <dimension ref="A1:AK7"/>
  <sheetViews>
    <sheetView zoomScale="60" zoomScaleNormal="60" zoomScaleSheetLayoutView="50" workbookViewId="0">
      <selection activeCell="G15" sqref="G15"/>
    </sheetView>
  </sheetViews>
  <sheetFormatPr defaultRowHeight="15" x14ac:dyDescent="0.25"/>
  <cols>
    <col min="2" max="19" width="14.42578125" customWidth="1"/>
    <col min="20" max="20" width="11.42578125" bestFit="1" customWidth="1"/>
    <col min="21" max="21" width="12.85546875" bestFit="1" customWidth="1"/>
    <col min="22" max="22" width="11.42578125" bestFit="1" customWidth="1"/>
    <col min="23" max="23" width="14.140625" bestFit="1" customWidth="1"/>
    <col min="24" max="24" width="11.42578125" bestFit="1" customWidth="1"/>
    <col min="25" max="25" width="14.140625" bestFit="1" customWidth="1"/>
    <col min="26" max="26" width="11.7109375" bestFit="1" customWidth="1"/>
    <col min="27" max="27" width="12.85546875" bestFit="1" customWidth="1"/>
    <col min="28" max="28" width="12.42578125" bestFit="1" customWidth="1"/>
    <col min="29" max="29" width="14.42578125" bestFit="1" customWidth="1"/>
    <col min="30" max="30" width="13.7109375" bestFit="1" customWidth="1"/>
    <col min="31" max="31" width="12.85546875" bestFit="1" customWidth="1"/>
    <col min="32" max="32" width="15.5703125" bestFit="1" customWidth="1"/>
    <col min="33" max="33" width="12.42578125" bestFit="1" customWidth="1"/>
    <col min="34" max="34" width="17" bestFit="1" customWidth="1"/>
    <col min="35" max="35" width="12.85546875" bestFit="1" customWidth="1"/>
    <col min="36" max="36" width="14.140625" bestFit="1" customWidth="1"/>
    <col min="37" max="37" width="15.140625" bestFit="1" customWidth="1"/>
  </cols>
  <sheetData>
    <row r="1" spans="1:37" ht="45" x14ac:dyDescent="0.25">
      <c r="A1" s="2" t="s">
        <v>0</v>
      </c>
      <c r="B1" s="2" t="s">
        <v>16</v>
      </c>
      <c r="C1" s="2" t="s">
        <v>13</v>
      </c>
      <c r="D1" s="2" t="s">
        <v>45</v>
      </c>
      <c r="E1" s="2" t="s">
        <v>14</v>
      </c>
      <c r="F1" s="2" t="s">
        <v>46</v>
      </c>
      <c r="G1" s="2" t="s">
        <v>21</v>
      </c>
      <c r="H1" s="2" t="s">
        <v>47</v>
      </c>
      <c r="I1" s="2" t="s">
        <v>23</v>
      </c>
      <c r="J1" s="2" t="s">
        <v>18</v>
      </c>
      <c r="K1" s="2" t="str">
        <f t="shared" ref="K1:S1" si="0">"(d) " &amp; B1</f>
        <v>(d) Cresc PIB Real</v>
      </c>
      <c r="L1" s="2" t="str">
        <f t="shared" si="0"/>
        <v>(d) Desemprego</v>
      </c>
      <c r="M1" s="2" t="str">
        <f t="shared" si="0"/>
        <v>(d) Inflação</v>
      </c>
      <c r="N1" s="2" t="str">
        <f t="shared" si="0"/>
        <v>(d) Taxa de Juros Real</v>
      </c>
      <c r="O1" s="2" t="str">
        <f t="shared" si="0"/>
        <v>(d) Risco Pais (taxa real)</v>
      </c>
      <c r="P1" s="2" t="str">
        <f t="shared" si="0"/>
        <v>(d) Cresc PIB Real (IN)</v>
      </c>
      <c r="Q1" s="2" t="str">
        <f t="shared" si="0"/>
        <v>(d) Inflação (IN)</v>
      </c>
      <c r="R1" s="2" t="str">
        <f t="shared" si="0"/>
        <v>(d) Taxa de Juros Real (IN)</v>
      </c>
      <c r="S1" s="2" t="str">
        <f t="shared" si="0"/>
        <v>(d) Premio de Risco</v>
      </c>
      <c r="T1" s="2" t="str">
        <f t="shared" ref="T1:AB1" si="1">"(lag) " &amp; B1</f>
        <v>(lag) Cresc PIB Real</v>
      </c>
      <c r="U1" s="2" t="str">
        <f t="shared" si="1"/>
        <v>(lag) Desemprego</v>
      </c>
      <c r="V1" s="2" t="str">
        <f t="shared" si="1"/>
        <v>(lag) Inflação</v>
      </c>
      <c r="W1" s="2" t="str">
        <f t="shared" si="1"/>
        <v>(lag) Taxa de Juros Real</v>
      </c>
      <c r="X1" s="2" t="str">
        <f t="shared" si="1"/>
        <v>(lag) Risco Pais (taxa real)</v>
      </c>
      <c r="Y1" s="2" t="str">
        <f t="shared" si="1"/>
        <v>(lag) Cresc PIB Real (IN)</v>
      </c>
      <c r="Z1" s="2" t="str">
        <f t="shared" si="1"/>
        <v>(lag) Inflação (IN)</v>
      </c>
      <c r="AA1" s="2" t="str">
        <f t="shared" si="1"/>
        <v>(lag) Taxa de Juros Real (IN)</v>
      </c>
      <c r="AB1" s="2" t="str">
        <f t="shared" si="1"/>
        <v>(lag) Premio de Risco</v>
      </c>
      <c r="AC1" s="2" t="str">
        <f t="shared" ref="AC1:AK1" si="2">"(lag) " &amp; K1</f>
        <v>(lag) (d) Cresc PIB Real</v>
      </c>
      <c r="AD1" s="2" t="str">
        <f t="shared" si="2"/>
        <v>(lag) (d) Desemprego</v>
      </c>
      <c r="AE1" s="2" t="str">
        <f t="shared" si="2"/>
        <v>(lag) (d) Inflação</v>
      </c>
      <c r="AF1" s="2" t="str">
        <f t="shared" si="2"/>
        <v>(lag) (d) Taxa de Juros Real</v>
      </c>
      <c r="AG1" s="2" t="str">
        <f t="shared" si="2"/>
        <v>(lag) (d) Risco Pais (taxa real)</v>
      </c>
      <c r="AH1" s="2" t="str">
        <f t="shared" si="2"/>
        <v>(lag) (d) Cresc PIB Real (IN)</v>
      </c>
      <c r="AI1" s="2" t="str">
        <f t="shared" si="2"/>
        <v>(lag) (d) Inflação (IN)</v>
      </c>
      <c r="AJ1" s="2" t="str">
        <f t="shared" si="2"/>
        <v>(lag) (d) Taxa de Juros Real (IN)</v>
      </c>
      <c r="AK1" s="2" t="str">
        <f t="shared" si="2"/>
        <v>(lag) (d) Premio de Risco</v>
      </c>
    </row>
    <row r="2" spans="1:37" ht="15.75" x14ac:dyDescent="0.25">
      <c r="A2" s="1">
        <v>0</v>
      </c>
      <c r="B2" s="37">
        <v>0.02</v>
      </c>
      <c r="C2" s="37">
        <v>0.08</v>
      </c>
      <c r="D2" s="37">
        <v>0.02</v>
      </c>
      <c r="E2" s="37">
        <v>0.02</v>
      </c>
      <c r="F2" s="37">
        <v>2.7999999999999997E-2</v>
      </c>
      <c r="G2" s="37">
        <v>2.0499999999999997E-2</v>
      </c>
      <c r="H2" s="37">
        <v>0.02</v>
      </c>
      <c r="I2" s="37">
        <v>0.02</v>
      </c>
      <c r="J2" s="37">
        <f>retornos!K2 - 2%</f>
        <v>2.6399999999999996E-2</v>
      </c>
      <c r="K2" s="37">
        <v>0</v>
      </c>
      <c r="L2" s="37">
        <v>0</v>
      </c>
      <c r="M2" s="37">
        <v>0</v>
      </c>
      <c r="N2" s="37">
        <v>0</v>
      </c>
      <c r="O2" s="37">
        <v>0</v>
      </c>
      <c r="P2" s="37">
        <v>0</v>
      </c>
      <c r="Q2" s="37">
        <v>0</v>
      </c>
      <c r="R2" s="37">
        <v>0</v>
      </c>
      <c r="S2" s="37">
        <v>0</v>
      </c>
      <c r="T2" s="37">
        <f t="shared" ref="T2:AB2" si="3">B2</f>
        <v>0.02</v>
      </c>
      <c r="U2" s="37">
        <f t="shared" si="3"/>
        <v>0.08</v>
      </c>
      <c r="V2" s="37">
        <f t="shared" si="3"/>
        <v>0.02</v>
      </c>
      <c r="W2" s="37">
        <f t="shared" si="3"/>
        <v>0.02</v>
      </c>
      <c r="X2" s="37">
        <f t="shared" si="3"/>
        <v>2.7999999999999997E-2</v>
      </c>
      <c r="Y2" s="37">
        <f t="shared" si="3"/>
        <v>2.0499999999999997E-2</v>
      </c>
      <c r="Z2" s="37">
        <f t="shared" si="3"/>
        <v>0.02</v>
      </c>
      <c r="AA2" s="37">
        <f t="shared" si="3"/>
        <v>0.02</v>
      </c>
      <c r="AB2" s="37">
        <f t="shared" si="3"/>
        <v>2.6399999999999996E-2</v>
      </c>
      <c r="AC2" s="37">
        <f t="shared" ref="AC2:AK2" si="4">K2</f>
        <v>0</v>
      </c>
      <c r="AD2" s="37">
        <f t="shared" si="4"/>
        <v>0</v>
      </c>
      <c r="AE2" s="37">
        <f t="shared" si="4"/>
        <v>0</v>
      </c>
      <c r="AF2" s="37">
        <f t="shared" si="4"/>
        <v>0</v>
      </c>
      <c r="AG2" s="37">
        <f t="shared" si="4"/>
        <v>0</v>
      </c>
      <c r="AH2" s="37">
        <f t="shared" si="4"/>
        <v>0</v>
      </c>
      <c r="AI2" s="37">
        <f t="shared" si="4"/>
        <v>0</v>
      </c>
      <c r="AJ2" s="37">
        <f t="shared" si="4"/>
        <v>0</v>
      </c>
      <c r="AK2" s="37">
        <f t="shared" si="4"/>
        <v>0</v>
      </c>
    </row>
    <row r="3" spans="1:37" ht="15.75" x14ac:dyDescent="0.25">
      <c r="A3" s="1">
        <v>1</v>
      </c>
      <c r="B3" s="37">
        <v>2.0199999999999999E-2</v>
      </c>
      <c r="C3" s="37">
        <v>8.0299999999999996E-2</v>
      </c>
      <c r="D3" s="37">
        <v>2.0299999999999999E-2</v>
      </c>
      <c r="E3" s="37">
        <v>0.02</v>
      </c>
      <c r="F3" s="37">
        <v>2.86E-2</v>
      </c>
      <c r="G3" s="37">
        <v>0.02</v>
      </c>
      <c r="H3" s="37">
        <v>2.0799999999999999E-2</v>
      </c>
      <c r="I3" s="37">
        <v>2.0199999999999999E-2</v>
      </c>
      <c r="J3" s="37">
        <f>retornos!K3 - 2%</f>
        <v>4.179999999999999E-2</v>
      </c>
      <c r="K3" s="37">
        <f t="shared" ref="K3:S5" si="5">B3/B2 - 1</f>
        <v>1.0000000000000009E-2</v>
      </c>
      <c r="L3" s="37">
        <f t="shared" si="5"/>
        <v>3.7499999999999201E-3</v>
      </c>
      <c r="M3" s="37">
        <f t="shared" si="5"/>
        <v>1.4999999999999902E-2</v>
      </c>
      <c r="N3" s="37">
        <f t="shared" si="5"/>
        <v>0</v>
      </c>
      <c r="O3" s="37">
        <f t="shared" si="5"/>
        <v>2.1428571428571574E-2</v>
      </c>
      <c r="P3" s="37">
        <f t="shared" si="5"/>
        <v>-2.4390243902438935E-2</v>
      </c>
      <c r="Q3" s="37">
        <f t="shared" si="5"/>
        <v>4.0000000000000036E-2</v>
      </c>
      <c r="R3" s="37">
        <f t="shared" si="5"/>
        <v>1.0000000000000009E-2</v>
      </c>
      <c r="S3" s="37">
        <f t="shared" si="5"/>
        <v>0.58333333333333326</v>
      </c>
      <c r="T3" s="37">
        <f t="shared" ref="T3:AB5" si="6">B2</f>
        <v>0.02</v>
      </c>
      <c r="U3" s="37">
        <f t="shared" si="6"/>
        <v>0.08</v>
      </c>
      <c r="V3" s="37">
        <f t="shared" si="6"/>
        <v>0.02</v>
      </c>
      <c r="W3" s="37">
        <f t="shared" si="6"/>
        <v>0.02</v>
      </c>
      <c r="X3" s="37">
        <f t="shared" si="6"/>
        <v>2.7999999999999997E-2</v>
      </c>
      <c r="Y3" s="37">
        <f t="shared" si="6"/>
        <v>2.0499999999999997E-2</v>
      </c>
      <c r="Z3" s="37">
        <f t="shared" si="6"/>
        <v>0.02</v>
      </c>
      <c r="AA3" s="37">
        <f t="shared" si="6"/>
        <v>0.02</v>
      </c>
      <c r="AB3" s="37">
        <f t="shared" si="6"/>
        <v>2.6399999999999996E-2</v>
      </c>
      <c r="AC3" s="37">
        <f t="shared" ref="AC3:AK4" si="7">K2</f>
        <v>0</v>
      </c>
      <c r="AD3" s="37">
        <f t="shared" si="7"/>
        <v>0</v>
      </c>
      <c r="AE3" s="37">
        <f t="shared" si="7"/>
        <v>0</v>
      </c>
      <c r="AF3" s="37">
        <f t="shared" si="7"/>
        <v>0</v>
      </c>
      <c r="AG3" s="37">
        <f t="shared" si="7"/>
        <v>0</v>
      </c>
      <c r="AH3" s="37">
        <f t="shared" si="7"/>
        <v>0</v>
      </c>
      <c r="AI3" s="37">
        <f t="shared" si="7"/>
        <v>0</v>
      </c>
      <c r="AJ3" s="37">
        <f t="shared" si="7"/>
        <v>0</v>
      </c>
      <c r="AK3" s="37">
        <f t="shared" si="7"/>
        <v>0</v>
      </c>
    </row>
    <row r="4" spans="1:37" ht="15.75" x14ac:dyDescent="0.25">
      <c r="A4" s="1">
        <v>2</v>
      </c>
      <c r="B4" s="37">
        <v>-2.5999999999999999E-3</v>
      </c>
      <c r="C4" s="37">
        <v>0.10630000000000001</v>
      </c>
      <c r="D4" s="37">
        <v>4.99E-2</v>
      </c>
      <c r="E4" s="37">
        <v>0.02</v>
      </c>
      <c r="F4" s="37">
        <v>4.6600000000000003E-2</v>
      </c>
      <c r="G4" s="37">
        <v>5.96E-2</v>
      </c>
      <c r="H4" s="37">
        <v>5.1000000000000004E-3</v>
      </c>
      <c r="I4" s="37">
        <v>6.0700000000000004E-2</v>
      </c>
      <c r="J4" s="37">
        <f>retornos!K4 - 2%</f>
        <v>-3.7699999999999997E-2</v>
      </c>
      <c r="K4" s="37">
        <f t="shared" si="5"/>
        <v>-1.1287128712871288</v>
      </c>
      <c r="L4" s="37">
        <f t="shared" si="5"/>
        <v>0.32378580323785822</v>
      </c>
      <c r="M4" s="37">
        <f t="shared" si="5"/>
        <v>1.458128078817734</v>
      </c>
      <c r="N4" s="37">
        <f t="shared" si="5"/>
        <v>0</v>
      </c>
      <c r="O4" s="37">
        <f t="shared" si="5"/>
        <v>0.62937062937062938</v>
      </c>
      <c r="P4" s="37">
        <f t="shared" si="5"/>
        <v>1.98</v>
      </c>
      <c r="Q4" s="37">
        <f t="shared" si="5"/>
        <v>-0.75480769230769229</v>
      </c>
      <c r="R4" s="37">
        <f t="shared" si="5"/>
        <v>2.0049504950495054</v>
      </c>
      <c r="S4" s="37">
        <f t="shared" si="5"/>
        <v>-1.9019138755980864</v>
      </c>
      <c r="T4" s="37">
        <f t="shared" si="6"/>
        <v>2.0199999999999999E-2</v>
      </c>
      <c r="U4" s="37">
        <f t="shared" si="6"/>
        <v>8.0299999999999996E-2</v>
      </c>
      <c r="V4" s="37">
        <f t="shared" si="6"/>
        <v>2.0299999999999999E-2</v>
      </c>
      <c r="W4" s="37">
        <f t="shared" si="6"/>
        <v>0.02</v>
      </c>
      <c r="X4" s="37">
        <f t="shared" si="6"/>
        <v>2.86E-2</v>
      </c>
      <c r="Y4" s="37">
        <f t="shared" si="6"/>
        <v>0.02</v>
      </c>
      <c r="Z4" s="37">
        <f t="shared" si="6"/>
        <v>2.0799999999999999E-2</v>
      </c>
      <c r="AA4" s="37">
        <f t="shared" si="6"/>
        <v>2.0199999999999999E-2</v>
      </c>
      <c r="AB4" s="37">
        <f t="shared" si="6"/>
        <v>4.179999999999999E-2</v>
      </c>
      <c r="AC4" s="37">
        <f t="shared" si="7"/>
        <v>1.0000000000000009E-2</v>
      </c>
      <c r="AD4" s="37">
        <f t="shared" si="7"/>
        <v>3.7499999999999201E-3</v>
      </c>
      <c r="AE4" s="37">
        <f t="shared" si="7"/>
        <v>1.4999999999999902E-2</v>
      </c>
      <c r="AF4" s="37">
        <f t="shared" si="7"/>
        <v>0</v>
      </c>
      <c r="AG4" s="37">
        <f t="shared" si="7"/>
        <v>2.1428571428571574E-2</v>
      </c>
      <c r="AH4" s="37">
        <f t="shared" si="7"/>
        <v>-2.4390243902438935E-2</v>
      </c>
      <c r="AI4" s="37">
        <f t="shared" si="7"/>
        <v>4.0000000000000036E-2</v>
      </c>
      <c r="AJ4" s="37">
        <f t="shared" si="7"/>
        <v>1.0000000000000009E-2</v>
      </c>
      <c r="AK4" s="37">
        <f t="shared" si="7"/>
        <v>0.58333333333333326</v>
      </c>
    </row>
    <row r="5" spans="1:37" ht="15.75" x14ac:dyDescent="0.25">
      <c r="A5" s="1">
        <v>3</v>
      </c>
      <c r="B5" s="37">
        <v>3.9699999999999999E-2</v>
      </c>
      <c r="C5" s="37">
        <v>8.8000000000000009E-2</v>
      </c>
      <c r="D5" s="37">
        <v>3.3599999999999998E-2</v>
      </c>
      <c r="E5" s="37">
        <v>0.02</v>
      </c>
      <c r="F5" s="37">
        <v>4.7400000000000005E-2</v>
      </c>
      <c r="G5" s="37">
        <v>3.9599999999999996E-2</v>
      </c>
      <c r="H5" s="37">
        <v>8.9999999999999998E-4</v>
      </c>
      <c r="I5" s="37">
        <v>4.0399999999999998E-2</v>
      </c>
      <c r="J5" s="37">
        <f>retornos!K5 - 2%</f>
        <v>0.13550000000000001</v>
      </c>
      <c r="K5" s="37">
        <f t="shared" si="5"/>
        <v>-16.26923076923077</v>
      </c>
      <c r="L5" s="37">
        <f t="shared" si="5"/>
        <v>-0.17215428033866409</v>
      </c>
      <c r="M5" s="37">
        <f t="shared" si="5"/>
        <v>-0.32665330661322645</v>
      </c>
      <c r="N5" s="37">
        <f t="shared" si="5"/>
        <v>0</v>
      </c>
      <c r="O5" s="37">
        <f t="shared" si="5"/>
        <v>1.7167381974249052E-2</v>
      </c>
      <c r="P5" s="37">
        <f t="shared" si="5"/>
        <v>-0.33557046979865779</v>
      </c>
      <c r="Q5" s="37">
        <f t="shared" si="5"/>
        <v>-0.82352941176470584</v>
      </c>
      <c r="R5" s="37">
        <f t="shared" si="5"/>
        <v>-0.33443163097199347</v>
      </c>
      <c r="S5" s="37">
        <f t="shared" si="5"/>
        <v>-4.5941644562334218</v>
      </c>
      <c r="T5" s="37">
        <f t="shared" si="6"/>
        <v>-2.5999999999999999E-3</v>
      </c>
      <c r="U5" s="37">
        <f t="shared" si="6"/>
        <v>0.10630000000000001</v>
      </c>
      <c r="V5" s="37">
        <f t="shared" si="6"/>
        <v>4.99E-2</v>
      </c>
      <c r="W5" s="37">
        <f t="shared" si="6"/>
        <v>0.02</v>
      </c>
      <c r="X5" s="37">
        <f t="shared" si="6"/>
        <v>4.6600000000000003E-2</v>
      </c>
      <c r="Y5" s="37">
        <f t="shared" si="6"/>
        <v>5.96E-2</v>
      </c>
      <c r="Z5" s="37">
        <f t="shared" si="6"/>
        <v>5.1000000000000004E-3</v>
      </c>
      <c r="AA5" s="37">
        <f t="shared" si="6"/>
        <v>6.0700000000000004E-2</v>
      </c>
      <c r="AB5" s="37">
        <f t="shared" si="6"/>
        <v>-3.7699999999999997E-2</v>
      </c>
      <c r="AC5" s="37">
        <f t="shared" ref="AC5" si="8">K4</f>
        <v>-1.1287128712871288</v>
      </c>
      <c r="AD5" s="37">
        <f t="shared" ref="AD5" si="9">L4</f>
        <v>0.32378580323785822</v>
      </c>
      <c r="AE5" s="37">
        <f t="shared" ref="AE5" si="10">M4</f>
        <v>1.458128078817734</v>
      </c>
      <c r="AF5" s="37">
        <f t="shared" ref="AF5" si="11">N4</f>
        <v>0</v>
      </c>
      <c r="AG5" s="37">
        <f t="shared" ref="AG5" si="12">O4</f>
        <v>0.62937062937062938</v>
      </c>
      <c r="AH5" s="37">
        <f t="shared" ref="AH5" si="13">P4</f>
        <v>1.98</v>
      </c>
      <c r="AI5" s="37">
        <f t="shared" ref="AI5" si="14">Q4</f>
        <v>-0.75480769230769229</v>
      </c>
      <c r="AJ5" s="37">
        <f t="shared" ref="AJ5" si="15">R4</f>
        <v>2.0049504950495054</v>
      </c>
      <c r="AK5" s="37">
        <f t="shared" ref="AK5" si="16">S4</f>
        <v>-1.9019138755980864</v>
      </c>
    </row>
    <row r="6" spans="1:37" ht="15.75" x14ac:dyDescent="0.25">
      <c r="A6" s="1">
        <v>4</v>
      </c>
      <c r="B6" s="38">
        <v>1.5600000000000001E-2</v>
      </c>
      <c r="C6" s="38">
        <v>9.35E-2</v>
      </c>
      <c r="D6" s="38">
        <v>2.4700000000000003E-2</v>
      </c>
      <c r="E6" s="38">
        <v>0.02</v>
      </c>
      <c r="F6" s="38">
        <v>2.58E-2</v>
      </c>
      <c r="G6" s="38">
        <v>2.4399999999999998E-2</v>
      </c>
      <c r="H6" s="38">
        <v>1.04E-2</v>
      </c>
      <c r="I6" s="38">
        <v>3.0699999999999998E-2</v>
      </c>
      <c r="J6" s="37">
        <f>retornos!K6 - 2%</f>
        <v>9.3800000000000008E-2</v>
      </c>
      <c r="K6" s="37">
        <f t="shared" ref="K6" si="17">B6/B5 - 1</f>
        <v>-0.60705289672544072</v>
      </c>
      <c r="L6" s="37">
        <f t="shared" ref="L6" si="18">C6/C5 - 1</f>
        <v>6.25E-2</v>
      </c>
      <c r="M6" s="37">
        <f t="shared" ref="M6" si="19">D6/D5 - 1</f>
        <v>-0.26488095238095222</v>
      </c>
      <c r="N6" s="37">
        <f t="shared" ref="N6" si="20">E6/E5 - 1</f>
        <v>0</v>
      </c>
      <c r="O6" s="37">
        <f t="shared" ref="O6" si="21">F6/F5 - 1</f>
        <v>-0.45569620253164567</v>
      </c>
      <c r="P6" s="37">
        <f t="shared" ref="P6" si="22">G6/G5 - 1</f>
        <v>-0.38383838383838387</v>
      </c>
      <c r="Q6" s="37">
        <f t="shared" ref="Q6" si="23">H6/H5 - 1</f>
        <v>10.555555555555555</v>
      </c>
      <c r="R6" s="37">
        <f t="shared" ref="R6" si="24">I6/I5 - 1</f>
        <v>-0.24009900990099009</v>
      </c>
      <c r="S6" s="37">
        <f t="shared" ref="S6" si="25">J6/J5 - 1</f>
        <v>-0.30774907749077485</v>
      </c>
      <c r="T6" s="37">
        <f t="shared" ref="T6" si="26">B5</f>
        <v>3.9699999999999999E-2</v>
      </c>
      <c r="U6" s="37">
        <f t="shared" ref="U6" si="27">C5</f>
        <v>8.8000000000000009E-2</v>
      </c>
      <c r="V6" s="37">
        <f t="shared" ref="V6" si="28">D5</f>
        <v>3.3599999999999998E-2</v>
      </c>
      <c r="W6" s="37">
        <f t="shared" ref="W6" si="29">E5</f>
        <v>0.02</v>
      </c>
      <c r="X6" s="37">
        <f t="shared" ref="X6" si="30">F5</f>
        <v>4.7400000000000005E-2</v>
      </c>
      <c r="Y6" s="37">
        <f t="shared" ref="Y6" si="31">G5</f>
        <v>3.9599999999999996E-2</v>
      </c>
      <c r="Z6" s="37">
        <f t="shared" ref="Z6" si="32">H5</f>
        <v>8.9999999999999998E-4</v>
      </c>
      <c r="AA6" s="37">
        <f t="shared" ref="AA6" si="33">I5</f>
        <v>4.0399999999999998E-2</v>
      </c>
      <c r="AB6" s="37">
        <f t="shared" ref="AB6" si="34">J5</f>
        <v>0.13550000000000001</v>
      </c>
      <c r="AC6" s="37">
        <f t="shared" ref="AC6" si="35">K5</f>
        <v>-16.26923076923077</v>
      </c>
      <c r="AD6" s="37">
        <f t="shared" ref="AD6" si="36">L5</f>
        <v>-0.17215428033866409</v>
      </c>
      <c r="AE6" s="37">
        <f t="shared" ref="AE6" si="37">M5</f>
        <v>-0.32665330661322645</v>
      </c>
      <c r="AF6" s="37">
        <f t="shared" ref="AF6" si="38">N5</f>
        <v>0</v>
      </c>
      <c r="AG6" s="37">
        <f t="shared" ref="AG6" si="39">O5</f>
        <v>1.7167381974249052E-2</v>
      </c>
      <c r="AH6" s="37">
        <f t="shared" ref="AH6" si="40">P5</f>
        <v>-0.33557046979865779</v>
      </c>
      <c r="AI6" s="37">
        <f t="shared" ref="AI6" si="41">Q5</f>
        <v>-0.82352941176470584</v>
      </c>
      <c r="AJ6" s="37">
        <f t="shared" ref="AJ6" si="42">R5</f>
        <v>-0.33443163097199347</v>
      </c>
      <c r="AK6" s="37">
        <f t="shared" ref="AK6" si="43">S5</f>
        <v>-4.5941644562334218</v>
      </c>
    </row>
    <row r="7" spans="1:37" ht="15.75" x14ac:dyDescent="0.25">
      <c r="A7" s="1">
        <v>5</v>
      </c>
      <c r="B7" s="38">
        <v>3.5200000000000002E-2</v>
      </c>
      <c r="C7" s="38">
        <v>7.7800000000000008E-2</v>
      </c>
      <c r="D7" s="38">
        <v>1.49E-2</v>
      </c>
      <c r="E7" s="38">
        <v>0.02</v>
      </c>
      <c r="F7" s="38">
        <v>1.8799999999999997E-2</v>
      </c>
      <c r="G7" s="38">
        <v>1.03E-2</v>
      </c>
      <c r="H7" s="38">
        <v>1.6899999999999998E-2</v>
      </c>
      <c r="I7" s="38">
        <v>1.0800000000000001E-2</v>
      </c>
      <c r="J7" s="37">
        <f>retornos!K7 - 2%</f>
        <v>0.10210000000000001</v>
      </c>
      <c r="K7" s="38">
        <f t="shared" ref="K7" si="44">B7/B6 - 1</f>
        <v>1.2564102564102564</v>
      </c>
      <c r="L7" s="37">
        <f t="shared" ref="L7" si="45">C7/C6 - 1</f>
        <v>-0.16791443850267374</v>
      </c>
      <c r="M7" s="37">
        <f t="shared" ref="M7" si="46">D7/D6 - 1</f>
        <v>-0.39676113360323895</v>
      </c>
      <c r="N7" s="37">
        <f t="shared" ref="N7" si="47">E7/E6 - 1</f>
        <v>0</v>
      </c>
      <c r="O7" s="37">
        <f t="shared" ref="O7" si="48">F7/F6 - 1</f>
        <v>-0.27131782945736449</v>
      </c>
      <c r="P7" s="37">
        <f t="shared" ref="P7" si="49">G7/G6 - 1</f>
        <v>-0.57786885245901631</v>
      </c>
      <c r="Q7" s="37">
        <f t="shared" ref="Q7" si="50">H7/H6 - 1</f>
        <v>0.625</v>
      </c>
      <c r="R7" s="37">
        <f t="shared" ref="R7" si="51">I7/I6 - 1</f>
        <v>-0.64820846905537455</v>
      </c>
      <c r="S7" s="37">
        <f t="shared" ref="S7" si="52">J7/J6 - 1</f>
        <v>8.8486140724946649E-2</v>
      </c>
      <c r="T7" s="37">
        <f t="shared" ref="T7" si="53">B6</f>
        <v>1.5600000000000001E-2</v>
      </c>
      <c r="U7" s="37">
        <f t="shared" ref="U7" si="54">C6</f>
        <v>9.35E-2</v>
      </c>
      <c r="V7" s="37">
        <f t="shared" ref="V7" si="55">D6</f>
        <v>2.4700000000000003E-2</v>
      </c>
      <c r="W7" s="37">
        <f t="shared" ref="W7" si="56">E6</f>
        <v>0.02</v>
      </c>
      <c r="X7" s="37">
        <f t="shared" ref="X7" si="57">F6</f>
        <v>2.58E-2</v>
      </c>
      <c r="Y7" s="37">
        <f t="shared" ref="Y7" si="58">G6</f>
        <v>2.4399999999999998E-2</v>
      </c>
      <c r="Z7" s="37">
        <f t="shared" ref="Z7" si="59">H6</f>
        <v>1.04E-2</v>
      </c>
      <c r="AA7" s="37">
        <f t="shared" ref="AA7" si="60">I6</f>
        <v>3.0699999999999998E-2</v>
      </c>
      <c r="AB7" s="37">
        <f t="shared" ref="AB7" si="61">J6</f>
        <v>9.3800000000000008E-2</v>
      </c>
      <c r="AC7" s="37">
        <f t="shared" ref="AC7" si="62">K6</f>
        <v>-0.60705289672544072</v>
      </c>
      <c r="AD7" s="37">
        <f t="shared" ref="AD7" si="63">L6</f>
        <v>6.25E-2</v>
      </c>
      <c r="AE7" s="37">
        <f t="shared" ref="AE7" si="64">M6</f>
        <v>-0.26488095238095222</v>
      </c>
      <c r="AF7" s="37">
        <f t="shared" ref="AF7" si="65">N6</f>
        <v>0</v>
      </c>
      <c r="AG7" s="37">
        <f t="shared" ref="AG7" si="66">O6</f>
        <v>-0.45569620253164567</v>
      </c>
      <c r="AH7" s="37">
        <f t="shared" ref="AH7" si="67">P6</f>
        <v>-0.38383838383838387</v>
      </c>
      <c r="AI7" s="37">
        <f t="shared" ref="AI7" si="68">Q6</f>
        <v>10.555555555555555</v>
      </c>
      <c r="AJ7" s="37">
        <f t="shared" ref="AJ7" si="69">R6</f>
        <v>-0.24009900990099009</v>
      </c>
      <c r="AK7" s="37">
        <f t="shared" ref="AK7" si="70">S6</f>
        <v>-0.30774907749077485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5E13E-B98F-42EA-9624-B6043E065A32}">
  <dimension ref="A1:N7"/>
  <sheetViews>
    <sheetView zoomScale="70" zoomScaleNormal="70" workbookViewId="0">
      <selection activeCell="K24" sqref="K24"/>
    </sheetView>
  </sheetViews>
  <sheetFormatPr defaultRowHeight="15" x14ac:dyDescent="0.25"/>
  <cols>
    <col min="2" max="13" width="10.85546875" customWidth="1"/>
    <col min="14" max="14" width="13" bestFit="1" customWidth="1"/>
  </cols>
  <sheetData>
    <row r="1" spans="1:14" ht="60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44</v>
      </c>
      <c r="I1" s="2" t="s">
        <v>8</v>
      </c>
      <c r="J1" s="2" t="s">
        <v>9</v>
      </c>
      <c r="K1" s="2" t="s">
        <v>10</v>
      </c>
      <c r="L1" s="2" t="s">
        <v>80</v>
      </c>
      <c r="M1" s="2" t="s">
        <v>19</v>
      </c>
      <c r="N1" s="2" t="s">
        <v>20</v>
      </c>
    </row>
    <row r="2" spans="1:14" ht="15.75" x14ac:dyDescent="0.25">
      <c r="A2" s="18">
        <v>0</v>
      </c>
      <c r="B2" s="37">
        <v>3.4599999999999999E-2</v>
      </c>
      <c r="C2" s="37">
        <v>4.5199999999999997E-2</v>
      </c>
      <c r="D2" s="37">
        <v>4.7199999999999999E-2</v>
      </c>
      <c r="E2" s="37">
        <v>4.41E-2</v>
      </c>
      <c r="F2" s="37">
        <v>3.3500000000000002E-2</v>
      </c>
      <c r="G2" s="37">
        <v>5.0199999999999995E-2</v>
      </c>
      <c r="H2" s="37">
        <v>4.0599999999999997E-2</v>
      </c>
      <c r="I2" s="37">
        <v>2.98E-2</v>
      </c>
      <c r="J2" s="37">
        <v>3.1099999999999999E-2</v>
      </c>
      <c r="K2" s="37">
        <v>4.6399999999999997E-2</v>
      </c>
      <c r="L2" s="37">
        <v>3.1899999999999998E-2</v>
      </c>
      <c r="M2" s="37">
        <v>-3.9000000000000003E-3</v>
      </c>
      <c r="N2" s="37">
        <v>3.9000000000000003E-3</v>
      </c>
    </row>
    <row r="3" spans="1:14" ht="15.75" x14ac:dyDescent="0.25">
      <c r="A3" s="18">
        <v>1</v>
      </c>
      <c r="B3" s="37">
        <v>3.5299999999999998E-2</v>
      </c>
      <c r="C3" s="37">
        <v>9.0899999999999995E-2</v>
      </c>
      <c r="D3" s="37">
        <v>8.3800000000000013E-2</v>
      </c>
      <c r="E3" s="37">
        <v>-1.34E-2</v>
      </c>
      <c r="F3" s="37">
        <v>0.10869999999999999</v>
      </c>
      <c r="G3" s="37">
        <v>0.12429999999999999</v>
      </c>
      <c r="H3" s="37">
        <v>-2.6499999999999999E-2</v>
      </c>
      <c r="I3" s="37">
        <v>2.86E-2</v>
      </c>
      <c r="J3" s="37">
        <v>2.8999999999999998E-2</v>
      </c>
      <c r="K3" s="37">
        <v>6.1799999999999994E-2</v>
      </c>
      <c r="L3" s="37">
        <v>2.0899999999999998E-2</v>
      </c>
      <c r="M3" s="37">
        <v>-1.54E-2</v>
      </c>
      <c r="N3" s="37">
        <v>1.54E-2</v>
      </c>
    </row>
    <row r="4" spans="1:14" ht="15.75" x14ac:dyDescent="0.25">
      <c r="A4" s="18">
        <v>2</v>
      </c>
      <c r="B4" s="37">
        <v>-9.06E-2</v>
      </c>
      <c r="C4" s="37">
        <v>-9.11E-2</v>
      </c>
      <c r="D4" s="37">
        <v>-5.33E-2</v>
      </c>
      <c r="E4" s="37">
        <v>-4.5199999999999997E-2</v>
      </c>
      <c r="F4" s="37">
        <v>-0.14910000000000001</v>
      </c>
      <c r="G4" s="37">
        <v>0.1186</v>
      </c>
      <c r="H4" s="37">
        <v>0.13650000000000001</v>
      </c>
      <c r="I4" s="37">
        <v>4.6600000000000003E-2</v>
      </c>
      <c r="J4" s="37">
        <v>2.6600000000000002E-2</v>
      </c>
      <c r="K4" s="37">
        <v>-1.77E-2</v>
      </c>
      <c r="L4" s="37">
        <v>0.23499999999999999</v>
      </c>
      <c r="M4" s="37">
        <v>0.48810000000000003</v>
      </c>
      <c r="N4" s="37">
        <v>-0.48810000000000003</v>
      </c>
    </row>
    <row r="5" spans="1:14" ht="15.75" x14ac:dyDescent="0.25">
      <c r="A5" s="1">
        <v>3</v>
      </c>
      <c r="B5" s="37">
        <v>0.1444</v>
      </c>
      <c r="C5" s="37">
        <v>0.12230000000000001</v>
      </c>
      <c r="D5" s="37">
        <v>1.7600000000000001E-2</v>
      </c>
      <c r="E5" s="37">
        <v>0.22510000000000002</v>
      </c>
      <c r="F5" s="37">
        <v>0.16600000000000001</v>
      </c>
      <c r="G5" s="37">
        <v>1.9199999999999998E-2</v>
      </c>
      <c r="H5" s="37">
        <v>0.32939999999999997</v>
      </c>
      <c r="I5" s="37">
        <v>4.7400000000000005E-2</v>
      </c>
      <c r="J5" s="37">
        <v>4.7400000000000005E-2</v>
      </c>
      <c r="K5" s="37">
        <v>0.1555</v>
      </c>
      <c r="L5" s="37">
        <v>9.5899999999999999E-2</v>
      </c>
      <c r="M5" s="37">
        <v>0.17379999999999998</v>
      </c>
      <c r="N5" s="37">
        <v>-0.17379999999999998</v>
      </c>
    </row>
    <row r="6" spans="1:14" ht="15.75" x14ac:dyDescent="0.25">
      <c r="A6" s="1">
        <v>4</v>
      </c>
      <c r="B6" s="37">
        <v>0.14899999999999999</v>
      </c>
      <c r="C6" s="37">
        <v>4.8399999999999999E-2</v>
      </c>
      <c r="D6" s="37">
        <v>-4.8600000000000004E-2</v>
      </c>
      <c r="E6" s="37">
        <v>-7.1300000000000002E-2</v>
      </c>
      <c r="F6" s="37">
        <v>0.2036</v>
      </c>
      <c r="G6" s="37">
        <v>0.2084</v>
      </c>
      <c r="H6" s="37">
        <v>0.2631</v>
      </c>
      <c r="I6" s="37">
        <v>2.58E-2</v>
      </c>
      <c r="J6" s="37">
        <v>5.2199999999999996E-2</v>
      </c>
      <c r="K6" s="37">
        <v>0.11380000000000001</v>
      </c>
      <c r="L6" s="37">
        <v>1.1299999999999999E-2</v>
      </c>
      <c r="M6" s="37">
        <v>-7.4299999999999991E-2</v>
      </c>
      <c r="N6" s="37">
        <v>7.4299999999999991E-2</v>
      </c>
    </row>
    <row r="7" spans="1:14" ht="15.75" x14ac:dyDescent="0.25">
      <c r="A7" s="1">
        <v>5</v>
      </c>
      <c r="B7" s="37">
        <v>9.1999999999999998E-2</v>
      </c>
      <c r="C7" s="37">
        <v>0.15670000000000001</v>
      </c>
      <c r="D7" s="37">
        <v>0.1595</v>
      </c>
      <c r="E7" s="37">
        <v>0.16079999999999997</v>
      </c>
      <c r="F7" s="37">
        <v>-2.64E-2</v>
      </c>
      <c r="G7" s="37">
        <v>0.1363</v>
      </c>
      <c r="H7" s="37">
        <v>0.1216</v>
      </c>
      <c r="I7" s="37">
        <v>1.8799999999999997E-2</v>
      </c>
      <c r="J7" s="37">
        <v>3.0099999999999998E-2</v>
      </c>
      <c r="K7" s="37">
        <v>0.12210000000000001</v>
      </c>
      <c r="L7" s="37">
        <v>0.18510000000000001</v>
      </c>
      <c r="M7" s="37">
        <v>-0.32750000000000001</v>
      </c>
      <c r="N7" s="37">
        <v>0.32750000000000001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14"/>
  <sheetViews>
    <sheetView zoomScale="50" zoomScaleNormal="50" zoomScaleSheetLayoutView="50" workbookViewId="0">
      <selection activeCell="C3" sqref="C3"/>
    </sheetView>
  </sheetViews>
  <sheetFormatPr defaultRowHeight="15" x14ac:dyDescent="0.25"/>
  <sheetData>
    <row r="1" spans="1:16" ht="105" x14ac:dyDescent="0.25">
      <c r="A1" s="25" t="s">
        <v>0</v>
      </c>
      <c r="B1" s="25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7" t="s">
        <v>44</v>
      </c>
      <c r="J1" s="26" t="s">
        <v>8</v>
      </c>
      <c r="K1" s="26" t="s">
        <v>9</v>
      </c>
      <c r="L1" s="26" t="s">
        <v>82</v>
      </c>
      <c r="M1" s="26" t="s">
        <v>10</v>
      </c>
      <c r="N1" s="27" t="s">
        <v>83</v>
      </c>
      <c r="O1" s="26" t="s">
        <v>11</v>
      </c>
      <c r="P1" s="26" t="s">
        <v>12</v>
      </c>
    </row>
    <row r="2" spans="1:16" x14ac:dyDescent="0.25">
      <c r="A2" s="39">
        <v>-1</v>
      </c>
      <c r="B2" s="39">
        <v>252</v>
      </c>
      <c r="C2" s="28">
        <v>12.5</v>
      </c>
      <c r="D2" s="28">
        <v>5.76</v>
      </c>
      <c r="E2" s="28">
        <v>27.13</v>
      </c>
      <c r="F2" s="28">
        <v>20.93</v>
      </c>
      <c r="G2" s="28">
        <v>17.84</v>
      </c>
      <c r="H2" s="28">
        <v>47.5</v>
      </c>
      <c r="I2" s="28">
        <v>34.020000000000003</v>
      </c>
      <c r="J2" s="28">
        <v>970.08211100000005</v>
      </c>
      <c r="K2" s="28">
        <v>937.225056</v>
      </c>
      <c r="L2" s="28">
        <v>5</v>
      </c>
      <c r="M2" s="28">
        <v>100</v>
      </c>
      <c r="N2" s="28">
        <v>50</v>
      </c>
      <c r="O2" s="28">
        <v>1000</v>
      </c>
      <c r="P2" s="28">
        <v>1000</v>
      </c>
    </row>
    <row r="3" spans="1:16" x14ac:dyDescent="0.25">
      <c r="A3" s="39">
        <v>0</v>
      </c>
      <c r="B3" s="39">
        <v>1</v>
      </c>
      <c r="C3" s="28">
        <v>12.5431533</v>
      </c>
      <c r="D3" s="28">
        <v>5.7298008600000001</v>
      </c>
      <c r="E3" s="28">
        <v>27.348135899999999</v>
      </c>
      <c r="F3" s="28">
        <v>21.089117699999999</v>
      </c>
      <c r="G3" s="28">
        <v>18.006220899999999</v>
      </c>
      <c r="H3" s="28">
        <v>47.627330100000002</v>
      </c>
      <c r="I3" s="28">
        <v>34.381254400000003</v>
      </c>
      <c r="J3" s="28">
        <v>978.15443500000003</v>
      </c>
      <c r="K3" s="28">
        <v>940.18498799999998</v>
      </c>
      <c r="L3" s="28">
        <v>4.93095382</v>
      </c>
      <c r="M3" s="28">
        <v>100.17092</v>
      </c>
      <c r="N3" s="28">
        <v>49.317608700000001</v>
      </c>
      <c r="O3" s="28">
        <v>986.19076399999994</v>
      </c>
      <c r="P3" s="28">
        <v>1013.80924</v>
      </c>
    </row>
    <row r="4" spans="1:16" x14ac:dyDescent="0.25">
      <c r="A4" s="39">
        <v>0</v>
      </c>
      <c r="B4" s="39">
        <v>2</v>
      </c>
      <c r="C4" s="28">
        <v>12.501220399999999</v>
      </c>
      <c r="D4" s="28">
        <v>5.7193481200000003</v>
      </c>
      <c r="E4" s="28">
        <v>27.348410399999999</v>
      </c>
      <c r="F4" s="28">
        <v>21.087026999999999</v>
      </c>
      <c r="G4" s="28">
        <v>18.068930000000002</v>
      </c>
      <c r="H4" s="28">
        <v>47.508703199999999</v>
      </c>
      <c r="I4" s="28">
        <v>34.698311199999999</v>
      </c>
      <c r="J4" s="28">
        <v>969.77724999999998</v>
      </c>
      <c r="K4" s="28">
        <v>936.95056599999998</v>
      </c>
      <c r="L4" s="28">
        <v>4.9539944699999996</v>
      </c>
      <c r="M4" s="28">
        <v>100.538884</v>
      </c>
      <c r="N4" s="28">
        <v>49.744297000000003</v>
      </c>
      <c r="O4" s="28">
        <v>990.79889400000002</v>
      </c>
      <c r="P4" s="28">
        <v>1009.20111</v>
      </c>
    </row>
    <row r="5" spans="1:16" x14ac:dyDescent="0.25">
      <c r="A5" s="39">
        <v>0</v>
      </c>
      <c r="B5" s="39">
        <v>3</v>
      </c>
      <c r="C5" s="28">
        <v>12.4809099</v>
      </c>
      <c r="D5" s="28">
        <v>5.7144490100000001</v>
      </c>
      <c r="E5" s="28">
        <v>26.998287999999999</v>
      </c>
      <c r="F5" s="28">
        <v>21.1396868</v>
      </c>
      <c r="G5" s="28">
        <v>18.073672299999998</v>
      </c>
      <c r="H5" s="28">
        <v>47.068241700000002</v>
      </c>
      <c r="I5" s="28">
        <v>35.4259731</v>
      </c>
      <c r="J5" s="28">
        <v>977.560158</v>
      </c>
      <c r="K5" s="28">
        <v>936.99273900000003</v>
      </c>
      <c r="L5" s="28">
        <v>4.9393909899999997</v>
      </c>
      <c r="M5" s="28">
        <v>100.145464</v>
      </c>
      <c r="N5" s="28">
        <v>49.564565299999998</v>
      </c>
      <c r="O5" s="28">
        <v>987.878199</v>
      </c>
      <c r="P5" s="28">
        <v>1012.1218</v>
      </c>
    </row>
    <row r="6" spans="1:16" x14ac:dyDescent="0.25">
      <c r="A6" s="39">
        <v>0</v>
      </c>
      <c r="B6" s="39">
        <v>4</v>
      </c>
      <c r="C6" s="28">
        <v>12.4878359</v>
      </c>
      <c r="D6" s="28">
        <v>5.7157080699999998</v>
      </c>
      <c r="E6" s="28">
        <v>27.012045000000001</v>
      </c>
      <c r="F6" s="28">
        <v>20.963860400000002</v>
      </c>
      <c r="G6" s="28">
        <v>17.981883700000001</v>
      </c>
      <c r="H6" s="28">
        <v>46.493239699999997</v>
      </c>
      <c r="I6" s="28">
        <v>35.140740800000003</v>
      </c>
      <c r="J6" s="28">
        <v>970.94733299999996</v>
      </c>
      <c r="K6" s="28">
        <v>935.74026400000002</v>
      </c>
      <c r="L6" s="28">
        <v>4.9112193700000004</v>
      </c>
      <c r="M6" s="28">
        <v>100.012987</v>
      </c>
      <c r="N6" s="28">
        <v>48.611151200000002</v>
      </c>
      <c r="O6" s="28">
        <v>982.24387400000001</v>
      </c>
      <c r="P6" s="28">
        <v>1017.75613</v>
      </c>
    </row>
    <row r="7" spans="1:16" x14ac:dyDescent="0.25">
      <c r="A7" s="39">
        <v>0</v>
      </c>
      <c r="B7" s="39">
        <v>5</v>
      </c>
      <c r="C7" s="28">
        <v>12.5718782</v>
      </c>
      <c r="D7" s="28">
        <v>5.69917052</v>
      </c>
      <c r="E7" s="28">
        <v>27.1125753</v>
      </c>
      <c r="F7" s="28">
        <v>20.959464199999999</v>
      </c>
      <c r="G7" s="28">
        <v>17.954304799999999</v>
      </c>
      <c r="H7" s="28">
        <v>46.587582699999999</v>
      </c>
      <c r="I7" s="28">
        <v>34.941408199999998</v>
      </c>
      <c r="J7" s="28">
        <v>978.19176000000004</v>
      </c>
      <c r="K7" s="28">
        <v>933.42446399999994</v>
      </c>
      <c r="L7" s="28">
        <v>4.8618124900000002</v>
      </c>
      <c r="M7" s="28">
        <v>99.704741900000002</v>
      </c>
      <c r="N7" s="28">
        <v>48.6181324</v>
      </c>
      <c r="O7" s="28">
        <v>972.36249699999996</v>
      </c>
      <c r="P7" s="28">
        <v>1027.6375</v>
      </c>
    </row>
    <row r="8" spans="1:16" x14ac:dyDescent="0.25">
      <c r="A8" s="39">
        <v>0</v>
      </c>
      <c r="B8" s="39">
        <v>6</v>
      </c>
      <c r="C8" s="28">
        <v>12.6464803</v>
      </c>
      <c r="D8" s="28">
        <v>5.6851762700000004</v>
      </c>
      <c r="E8" s="28">
        <v>27.036100300000001</v>
      </c>
      <c r="F8" s="28">
        <v>20.953934499999999</v>
      </c>
      <c r="G8" s="28">
        <v>17.907745200000001</v>
      </c>
      <c r="H8" s="28">
        <v>46.543042</v>
      </c>
      <c r="I8" s="28">
        <v>35.289725099999998</v>
      </c>
      <c r="J8" s="28">
        <v>971.51096199999995</v>
      </c>
      <c r="K8" s="28">
        <v>930.23442899999998</v>
      </c>
      <c r="L8" s="28">
        <v>4.8598835100000004</v>
      </c>
      <c r="M8" s="28">
        <v>99.385097299999998</v>
      </c>
      <c r="N8" s="28">
        <v>49.213420300000003</v>
      </c>
      <c r="O8" s="28">
        <v>971.97670200000005</v>
      </c>
      <c r="P8" s="28">
        <v>1028.0233000000001</v>
      </c>
    </row>
    <row r="9" spans="1:16" x14ac:dyDescent="0.25">
      <c r="A9" s="39">
        <v>0</v>
      </c>
      <c r="B9" s="39">
        <v>7</v>
      </c>
      <c r="C9" s="28">
        <v>12.6157409</v>
      </c>
      <c r="D9" s="28">
        <v>5.7109664699999998</v>
      </c>
      <c r="E9" s="28">
        <v>27.058617000000002</v>
      </c>
      <c r="F9" s="28">
        <v>20.827402200000002</v>
      </c>
      <c r="G9" s="28">
        <v>17.8298226</v>
      </c>
      <c r="H9" s="28">
        <v>46.046878399999997</v>
      </c>
      <c r="I9" s="28">
        <v>35.309443199999997</v>
      </c>
      <c r="J9" s="28">
        <v>978.66198599999996</v>
      </c>
      <c r="K9" s="28">
        <v>937.06732199999999</v>
      </c>
      <c r="L9" s="28">
        <v>4.8187236799999997</v>
      </c>
      <c r="M9" s="28">
        <v>99.120415399999999</v>
      </c>
      <c r="N9" s="28">
        <v>49.838099200000002</v>
      </c>
      <c r="O9" s="28">
        <v>963.74473599999999</v>
      </c>
      <c r="P9" s="28">
        <v>1036.2552599999999</v>
      </c>
    </row>
    <row r="10" spans="1:16" x14ac:dyDescent="0.25">
      <c r="A10" s="39">
        <v>0</v>
      </c>
      <c r="B10" s="39">
        <v>8</v>
      </c>
      <c r="C10" s="28">
        <v>12.5913193</v>
      </c>
      <c r="D10" s="28">
        <v>5.7283331999999998</v>
      </c>
      <c r="E10" s="28">
        <v>26.900100399999999</v>
      </c>
      <c r="F10" s="28">
        <v>20.854913499999999</v>
      </c>
      <c r="G10" s="28">
        <v>17.9559316</v>
      </c>
      <c r="H10" s="28">
        <v>46.040245599999999</v>
      </c>
      <c r="I10" s="28">
        <v>35.079455699999997</v>
      </c>
      <c r="J10" s="28">
        <v>972.07442600000002</v>
      </c>
      <c r="K10" s="28">
        <v>937.64278200000001</v>
      </c>
      <c r="L10" s="28">
        <v>4.7851968400000002</v>
      </c>
      <c r="M10" s="28">
        <v>99.167361400000004</v>
      </c>
      <c r="N10" s="28">
        <v>50.281191300000003</v>
      </c>
      <c r="O10" s="28">
        <v>957.03936799999997</v>
      </c>
      <c r="P10" s="28">
        <v>1042.96063</v>
      </c>
    </row>
    <row r="11" spans="1:16" x14ac:dyDescent="0.25">
      <c r="A11" s="39">
        <v>0</v>
      </c>
      <c r="B11" s="39">
        <v>9</v>
      </c>
      <c r="C11" s="28">
        <v>12.630681299999999</v>
      </c>
      <c r="D11" s="28">
        <v>5.7087809800000002</v>
      </c>
      <c r="E11" s="28">
        <v>26.713619999999999</v>
      </c>
      <c r="F11" s="28">
        <v>20.599481399999998</v>
      </c>
      <c r="G11" s="28">
        <v>17.7607499</v>
      </c>
      <c r="H11" s="28">
        <v>45.901426000000001</v>
      </c>
      <c r="I11" s="28">
        <v>34.6214406</v>
      </c>
      <c r="J11" s="28">
        <v>979.32272799999998</v>
      </c>
      <c r="K11" s="28">
        <v>937.61977200000001</v>
      </c>
      <c r="L11" s="28">
        <v>4.7840855600000003</v>
      </c>
      <c r="M11" s="28">
        <v>98.701682500000004</v>
      </c>
      <c r="N11" s="28">
        <v>49.9277552</v>
      </c>
      <c r="O11" s="28">
        <v>956.81711299999995</v>
      </c>
      <c r="P11" s="28">
        <v>1043.18289</v>
      </c>
    </row>
    <row r="12" spans="1:16" x14ac:dyDescent="0.25">
      <c r="A12" s="39">
        <v>0</v>
      </c>
      <c r="B12" s="39">
        <v>10</v>
      </c>
      <c r="C12" s="28">
        <v>12.5544916</v>
      </c>
      <c r="D12" s="28">
        <v>5.6667905300000001</v>
      </c>
      <c r="E12" s="28">
        <v>26.711689700000001</v>
      </c>
      <c r="F12" s="28">
        <v>20.7227201</v>
      </c>
      <c r="G12" s="28">
        <v>17.656003299999998</v>
      </c>
      <c r="H12" s="28">
        <v>45.6916595</v>
      </c>
      <c r="I12" s="28">
        <v>34.026111899999997</v>
      </c>
      <c r="J12" s="28">
        <v>973.81852200000003</v>
      </c>
      <c r="K12" s="28">
        <v>933.433267</v>
      </c>
      <c r="L12" s="28">
        <v>4.7874185699999998</v>
      </c>
      <c r="M12" s="28">
        <v>98.441244100000006</v>
      </c>
      <c r="N12" s="28">
        <v>49.850897500000002</v>
      </c>
      <c r="O12" s="28">
        <v>957.48371399999996</v>
      </c>
      <c r="P12" s="28">
        <v>1042.51629</v>
      </c>
    </row>
    <row r="13" spans="1:16" x14ac:dyDescent="0.25">
      <c r="A13" s="39">
        <v>0</v>
      </c>
      <c r="B13" s="39">
        <v>11</v>
      </c>
      <c r="C13" s="28">
        <v>12.587315800000001</v>
      </c>
      <c r="D13" s="28">
        <v>5.7473742699999999</v>
      </c>
      <c r="E13" s="28">
        <v>26.941041299999998</v>
      </c>
      <c r="F13" s="28">
        <v>20.849139300000001</v>
      </c>
      <c r="G13" s="28">
        <v>17.5714732</v>
      </c>
      <c r="H13" s="28">
        <v>46.223415600000003</v>
      </c>
      <c r="I13" s="28">
        <v>33.997568200000003</v>
      </c>
      <c r="J13" s="28">
        <v>978.22599100000002</v>
      </c>
      <c r="K13" s="28">
        <v>939.42230300000006</v>
      </c>
      <c r="L13" s="28">
        <v>4.7771391699999999</v>
      </c>
      <c r="M13" s="28">
        <v>98.954465799999994</v>
      </c>
      <c r="N13" s="28">
        <v>49.940829100000002</v>
      </c>
      <c r="O13" s="28">
        <v>955.42783399999996</v>
      </c>
      <c r="P13" s="28">
        <v>1044.5721699999999</v>
      </c>
    </row>
    <row r="14" spans="1:16" x14ac:dyDescent="0.25">
      <c r="A14" s="39">
        <v>0</v>
      </c>
      <c r="B14" s="39">
        <v>12</v>
      </c>
      <c r="C14" s="28">
        <v>12.5200534</v>
      </c>
      <c r="D14" s="28">
        <v>5.7223549800000004</v>
      </c>
      <c r="E14" s="28">
        <v>26.881009599999999</v>
      </c>
      <c r="F14" s="28">
        <v>20.848578100000001</v>
      </c>
      <c r="G14" s="28">
        <v>17.238712599999999</v>
      </c>
      <c r="H14" s="28">
        <v>45.499297499999997</v>
      </c>
      <c r="I14" s="28">
        <v>33.473379600000001</v>
      </c>
      <c r="J14" s="28">
        <v>973.86936300000002</v>
      </c>
      <c r="K14" s="28">
        <v>942.89792299999999</v>
      </c>
      <c r="L14" s="28">
        <v>4.78586665</v>
      </c>
      <c r="M14" s="28">
        <v>97.793953999999999</v>
      </c>
      <c r="N14" s="28">
        <v>49.503046699999999</v>
      </c>
      <c r="O14" s="28">
        <v>957.17332999999996</v>
      </c>
      <c r="P14" s="28">
        <v>1042.8266699999999</v>
      </c>
    </row>
    <row r="15" spans="1:16" x14ac:dyDescent="0.25">
      <c r="A15" s="39">
        <v>0</v>
      </c>
      <c r="B15" s="39">
        <v>13</v>
      </c>
      <c r="C15" s="28">
        <v>12.5165334</v>
      </c>
      <c r="D15" s="28">
        <v>5.7476603400000004</v>
      </c>
      <c r="E15" s="28">
        <v>26.891573399999999</v>
      </c>
      <c r="F15" s="28">
        <v>20.6916729</v>
      </c>
      <c r="G15" s="28">
        <v>16.967209100000002</v>
      </c>
      <c r="H15" s="28">
        <v>45.853754199999997</v>
      </c>
      <c r="I15" s="28">
        <v>33.848882099999997</v>
      </c>
      <c r="J15" s="28">
        <v>979.43508599999996</v>
      </c>
      <c r="K15" s="28">
        <v>945.40991899999995</v>
      </c>
      <c r="L15" s="28">
        <v>4.8082012199999999</v>
      </c>
      <c r="M15" s="28">
        <v>97.649105199999994</v>
      </c>
      <c r="N15" s="28">
        <v>49.487418400000003</v>
      </c>
      <c r="O15" s="28">
        <v>961.64024400000005</v>
      </c>
      <c r="P15" s="28">
        <v>1038.3597600000001</v>
      </c>
    </row>
    <row r="16" spans="1:16" x14ac:dyDescent="0.25">
      <c r="A16" s="39">
        <v>0</v>
      </c>
      <c r="B16" s="39">
        <v>14</v>
      </c>
      <c r="C16" s="28">
        <v>12.589320600000001</v>
      </c>
      <c r="D16" s="28">
        <v>5.8065622599999998</v>
      </c>
      <c r="E16" s="28">
        <v>26.732079599999999</v>
      </c>
      <c r="F16" s="28">
        <v>20.822395799999999</v>
      </c>
      <c r="G16" s="28">
        <v>17.113409900000001</v>
      </c>
      <c r="H16" s="28">
        <v>46.028350099999997</v>
      </c>
      <c r="I16" s="28">
        <v>33.6034954</v>
      </c>
      <c r="J16" s="28">
        <v>973.06148199999996</v>
      </c>
      <c r="K16" s="28">
        <v>944.82207300000005</v>
      </c>
      <c r="L16" s="28">
        <v>4.8269130699999998</v>
      </c>
      <c r="M16" s="28">
        <v>97.702445499999996</v>
      </c>
      <c r="N16" s="28">
        <v>49.3506334</v>
      </c>
      <c r="O16" s="28">
        <v>965.38261499999999</v>
      </c>
      <c r="P16" s="28">
        <v>1034.6173899999999</v>
      </c>
    </row>
    <row r="17" spans="1:16" x14ac:dyDescent="0.25">
      <c r="A17" s="39">
        <v>0</v>
      </c>
      <c r="B17" s="39">
        <v>15</v>
      </c>
      <c r="C17" s="28">
        <v>12.5548605</v>
      </c>
      <c r="D17" s="28">
        <v>5.8071143699999999</v>
      </c>
      <c r="E17" s="28">
        <v>26.9760682</v>
      </c>
      <c r="F17" s="28">
        <v>20.941137999999999</v>
      </c>
      <c r="G17" s="28">
        <v>17.021686200000001</v>
      </c>
      <c r="H17" s="28">
        <v>46.209250300000001</v>
      </c>
      <c r="I17" s="28">
        <v>33.158510999999997</v>
      </c>
      <c r="J17" s="28">
        <v>978.27205700000002</v>
      </c>
      <c r="K17" s="28">
        <v>947.50582399999996</v>
      </c>
      <c r="L17" s="28">
        <v>4.7798043300000002</v>
      </c>
      <c r="M17" s="28">
        <v>97.398950400000004</v>
      </c>
      <c r="N17" s="28">
        <v>49.565826299999998</v>
      </c>
      <c r="O17" s="28">
        <v>955.96086700000001</v>
      </c>
      <c r="P17" s="28">
        <v>1044.0391299999999</v>
      </c>
    </row>
    <row r="18" spans="1:16" x14ac:dyDescent="0.25">
      <c r="A18" s="39">
        <v>0</v>
      </c>
      <c r="B18" s="39">
        <v>16</v>
      </c>
      <c r="C18" s="28">
        <v>12.5408606</v>
      </c>
      <c r="D18" s="28">
        <v>5.7816379800000002</v>
      </c>
      <c r="E18" s="28">
        <v>26.884310800000002</v>
      </c>
      <c r="F18" s="28">
        <v>20.869171699999999</v>
      </c>
      <c r="G18" s="28">
        <v>17.051320199999999</v>
      </c>
      <c r="H18" s="28">
        <v>46.227294700000002</v>
      </c>
      <c r="I18" s="28">
        <v>33.276946100000004</v>
      </c>
      <c r="J18" s="28">
        <v>973.73198500000001</v>
      </c>
      <c r="K18" s="28">
        <v>941.52451199999996</v>
      </c>
      <c r="L18" s="28">
        <v>4.7762722499999999</v>
      </c>
      <c r="M18" s="28">
        <v>97.181306000000006</v>
      </c>
      <c r="N18" s="28">
        <v>49.537836599999999</v>
      </c>
      <c r="O18" s="28">
        <v>955.25444900000002</v>
      </c>
      <c r="P18" s="28">
        <v>1044.7455500000001</v>
      </c>
    </row>
    <row r="19" spans="1:16" x14ac:dyDescent="0.25">
      <c r="A19" s="39">
        <v>0</v>
      </c>
      <c r="B19" s="39">
        <v>17</v>
      </c>
      <c r="C19" s="28">
        <v>12.533637300000001</v>
      </c>
      <c r="D19" s="28">
        <v>5.8067740700000003</v>
      </c>
      <c r="E19" s="28">
        <v>27.085309899999999</v>
      </c>
      <c r="F19" s="28">
        <v>21.1277486</v>
      </c>
      <c r="G19" s="28">
        <v>17.3295277</v>
      </c>
      <c r="H19" s="28">
        <v>46.303305700000003</v>
      </c>
      <c r="I19" s="28">
        <v>33.484084199999998</v>
      </c>
      <c r="J19" s="28">
        <v>977.67364299999997</v>
      </c>
      <c r="K19" s="28">
        <v>947.60685000000001</v>
      </c>
      <c r="L19" s="28">
        <v>4.7706812899999997</v>
      </c>
      <c r="M19" s="28">
        <v>98.052563399999997</v>
      </c>
      <c r="N19" s="28">
        <v>49.449016999999998</v>
      </c>
      <c r="O19" s="28">
        <v>954.136258</v>
      </c>
      <c r="P19" s="28">
        <v>1045.86374</v>
      </c>
    </row>
    <row r="20" spans="1:16" x14ac:dyDescent="0.25">
      <c r="A20" s="39">
        <v>0</v>
      </c>
      <c r="B20" s="39">
        <v>18</v>
      </c>
      <c r="C20" s="28">
        <v>12.5049411</v>
      </c>
      <c r="D20" s="28">
        <v>5.7575123899999996</v>
      </c>
      <c r="E20" s="28">
        <v>27.127258300000001</v>
      </c>
      <c r="F20" s="28">
        <v>21.055418299999999</v>
      </c>
      <c r="G20" s="28">
        <v>17.399133599999999</v>
      </c>
      <c r="H20" s="28">
        <v>46.3391229</v>
      </c>
      <c r="I20" s="28">
        <v>33.502718600000001</v>
      </c>
      <c r="J20" s="28">
        <v>973.49278200000003</v>
      </c>
      <c r="K20" s="28">
        <v>944.99750300000005</v>
      </c>
      <c r="L20" s="28">
        <v>4.7869950399999999</v>
      </c>
      <c r="M20" s="28">
        <v>98.269915299999994</v>
      </c>
      <c r="N20" s="28">
        <v>49.668700399999999</v>
      </c>
      <c r="O20" s="28">
        <v>957.39900899999998</v>
      </c>
      <c r="P20" s="28">
        <v>1042.6009899999999</v>
      </c>
    </row>
    <row r="21" spans="1:16" x14ac:dyDescent="0.25">
      <c r="A21" s="39">
        <v>0</v>
      </c>
      <c r="B21" s="39">
        <v>19</v>
      </c>
      <c r="C21" s="28">
        <v>12.591763200000001</v>
      </c>
      <c r="D21" s="28">
        <v>5.75122029</v>
      </c>
      <c r="E21" s="28">
        <v>27.029375900000002</v>
      </c>
      <c r="F21" s="28">
        <v>21.138767600000001</v>
      </c>
      <c r="G21" s="28">
        <v>17.448833400000002</v>
      </c>
      <c r="H21" s="28">
        <v>46.519220599999997</v>
      </c>
      <c r="I21" s="28">
        <v>33.642228899999999</v>
      </c>
      <c r="J21" s="28">
        <v>978.10432000000003</v>
      </c>
      <c r="K21" s="28">
        <v>946.96576100000004</v>
      </c>
      <c r="L21" s="28">
        <v>4.8185652299999999</v>
      </c>
      <c r="M21" s="28">
        <v>98.472434199999995</v>
      </c>
      <c r="N21" s="28">
        <v>50.458842099999998</v>
      </c>
      <c r="O21" s="28">
        <v>963.71304699999996</v>
      </c>
      <c r="P21" s="28">
        <v>1036.2869499999999</v>
      </c>
    </row>
    <row r="22" spans="1:16" x14ac:dyDescent="0.25">
      <c r="A22" s="39">
        <v>0</v>
      </c>
      <c r="B22" s="39">
        <v>20</v>
      </c>
      <c r="C22" s="28">
        <v>12.553402500000001</v>
      </c>
      <c r="D22" s="28">
        <v>5.7430512699999996</v>
      </c>
      <c r="E22" s="28">
        <v>27.013196900000001</v>
      </c>
      <c r="F22" s="28">
        <v>21.252700900000001</v>
      </c>
      <c r="G22" s="28">
        <v>17.312878399999999</v>
      </c>
      <c r="H22" s="28">
        <v>46.379145100000002</v>
      </c>
      <c r="I22" s="28">
        <v>33.555323299999998</v>
      </c>
      <c r="J22" s="28">
        <v>973.41526399999998</v>
      </c>
      <c r="K22" s="28">
        <v>950.35804900000005</v>
      </c>
      <c r="L22" s="28">
        <v>4.7932884600000003</v>
      </c>
      <c r="M22" s="28">
        <v>98.356063599999999</v>
      </c>
      <c r="N22" s="28">
        <v>50.424090300000003</v>
      </c>
      <c r="O22" s="28">
        <v>958.65769299999999</v>
      </c>
      <c r="P22" s="28">
        <v>1041.34231</v>
      </c>
    </row>
    <row r="23" spans="1:16" x14ac:dyDescent="0.25">
      <c r="A23" s="39">
        <v>0</v>
      </c>
      <c r="B23" s="39">
        <v>21</v>
      </c>
      <c r="C23" s="28">
        <v>12.6572792</v>
      </c>
      <c r="D23" s="28">
        <v>5.8122974699999999</v>
      </c>
      <c r="E23" s="28">
        <v>27.333832099999999</v>
      </c>
      <c r="F23" s="28">
        <v>21.646010400000002</v>
      </c>
      <c r="G23" s="28">
        <v>17.170123400000001</v>
      </c>
      <c r="H23" s="28">
        <v>46.8650807</v>
      </c>
      <c r="I23" s="28">
        <v>33.846132300000001</v>
      </c>
      <c r="J23" s="28">
        <v>976.15884700000004</v>
      </c>
      <c r="K23" s="28">
        <v>952.06781699999999</v>
      </c>
      <c r="L23" s="28">
        <v>4.7465323000000001</v>
      </c>
      <c r="M23" s="28">
        <v>99.143540099999996</v>
      </c>
      <c r="N23" s="28">
        <v>50.681525299999997</v>
      </c>
      <c r="O23" s="28">
        <v>949.30646000000002</v>
      </c>
      <c r="P23" s="28">
        <v>1050.69354</v>
      </c>
    </row>
    <row r="24" spans="1:16" x14ac:dyDescent="0.25">
      <c r="A24" s="39">
        <v>0</v>
      </c>
      <c r="B24" s="39">
        <v>22</v>
      </c>
      <c r="C24" s="28">
        <v>12.610375700000001</v>
      </c>
      <c r="D24" s="28">
        <v>5.8355496499999999</v>
      </c>
      <c r="E24" s="28">
        <v>27.4830434</v>
      </c>
      <c r="F24" s="28">
        <v>21.690645799999999</v>
      </c>
      <c r="G24" s="28">
        <v>17.279852600000002</v>
      </c>
      <c r="H24" s="28">
        <v>47.371682300000003</v>
      </c>
      <c r="I24" s="28">
        <v>33.8377075</v>
      </c>
      <c r="J24" s="28">
        <v>971.023731</v>
      </c>
      <c r="K24" s="28">
        <v>955.97907899999996</v>
      </c>
      <c r="L24" s="28">
        <v>4.7786625799999998</v>
      </c>
      <c r="M24" s="28">
        <v>99.473743200000001</v>
      </c>
      <c r="N24" s="28">
        <v>50.9095625</v>
      </c>
      <c r="O24" s="28">
        <v>955.73251700000003</v>
      </c>
      <c r="P24" s="28">
        <v>1044.26748</v>
      </c>
    </row>
    <row r="25" spans="1:16" x14ac:dyDescent="0.25">
      <c r="A25" s="39">
        <v>0</v>
      </c>
      <c r="B25" s="39">
        <v>23</v>
      </c>
      <c r="C25" s="28">
        <v>12.617387000000001</v>
      </c>
      <c r="D25" s="28">
        <v>5.8160080699999996</v>
      </c>
      <c r="E25" s="28">
        <v>27.446746699999998</v>
      </c>
      <c r="F25" s="28">
        <v>21.6701774</v>
      </c>
      <c r="G25" s="28">
        <v>17.3299558</v>
      </c>
      <c r="H25" s="28">
        <v>46.920197899999998</v>
      </c>
      <c r="I25" s="28">
        <v>34.345353699999997</v>
      </c>
      <c r="J25" s="28">
        <v>975.95044399999995</v>
      </c>
      <c r="K25" s="28">
        <v>956.81175399999995</v>
      </c>
      <c r="L25" s="28">
        <v>4.8309256899999999</v>
      </c>
      <c r="M25" s="28">
        <v>99.090054899999998</v>
      </c>
      <c r="N25" s="28">
        <v>50.961480700000003</v>
      </c>
      <c r="O25" s="28">
        <v>966.18513800000005</v>
      </c>
      <c r="P25" s="28">
        <v>1033.81486</v>
      </c>
    </row>
    <row r="26" spans="1:16" x14ac:dyDescent="0.25">
      <c r="A26" s="39">
        <v>0</v>
      </c>
      <c r="B26" s="39">
        <v>24</v>
      </c>
      <c r="C26" s="28">
        <v>12.549797099999999</v>
      </c>
      <c r="D26" s="28">
        <v>5.8153433999999997</v>
      </c>
      <c r="E26" s="28">
        <v>27.449233199999998</v>
      </c>
      <c r="F26" s="28">
        <v>21.644893</v>
      </c>
      <c r="G26" s="28">
        <v>17.2048579</v>
      </c>
      <c r="H26" s="28">
        <v>46.879244999999997</v>
      </c>
      <c r="I26" s="28">
        <v>35.112118299999999</v>
      </c>
      <c r="J26" s="28">
        <v>971.458662</v>
      </c>
      <c r="K26" s="28">
        <v>950.17319199999997</v>
      </c>
      <c r="L26" s="28">
        <v>4.8547965800000004</v>
      </c>
      <c r="M26" s="28">
        <v>99.193215600000002</v>
      </c>
      <c r="N26" s="28">
        <v>51.215535600000003</v>
      </c>
      <c r="O26" s="28">
        <v>970.95931700000006</v>
      </c>
      <c r="P26" s="28">
        <v>1029.0406800000001</v>
      </c>
    </row>
    <row r="27" spans="1:16" x14ac:dyDescent="0.25">
      <c r="A27" s="39">
        <v>0</v>
      </c>
      <c r="B27" s="39">
        <v>25</v>
      </c>
      <c r="C27" s="28">
        <v>12.6704572</v>
      </c>
      <c r="D27" s="28">
        <v>5.86035722</v>
      </c>
      <c r="E27" s="28">
        <v>27.364343099999999</v>
      </c>
      <c r="F27" s="28">
        <v>21.531895200000001</v>
      </c>
      <c r="G27" s="28">
        <v>17.1958704</v>
      </c>
      <c r="H27" s="28">
        <v>46.377293799999997</v>
      </c>
      <c r="I27" s="28">
        <v>35.211497899999998</v>
      </c>
      <c r="J27" s="28">
        <v>975.82874900000002</v>
      </c>
      <c r="K27" s="28">
        <v>953.47414200000003</v>
      </c>
      <c r="L27" s="28">
        <v>4.8653509899999996</v>
      </c>
      <c r="M27" s="28">
        <v>99.399777599999993</v>
      </c>
      <c r="N27" s="28">
        <v>51.050355099999997</v>
      </c>
      <c r="O27" s="28">
        <v>973.070199</v>
      </c>
      <c r="P27" s="28">
        <v>1026.9297999999999</v>
      </c>
    </row>
    <row r="28" spans="1:16" x14ac:dyDescent="0.25">
      <c r="A28" s="39">
        <v>0</v>
      </c>
      <c r="B28" s="39">
        <v>26</v>
      </c>
      <c r="C28" s="28">
        <v>12.659521099999999</v>
      </c>
      <c r="D28" s="28">
        <v>5.8436869500000004</v>
      </c>
      <c r="E28" s="28">
        <v>27.142749599999998</v>
      </c>
      <c r="F28" s="28">
        <v>21.598180500000002</v>
      </c>
      <c r="G28" s="28">
        <v>17.235171099999999</v>
      </c>
      <c r="H28" s="28">
        <v>45.723152800000001</v>
      </c>
      <c r="I28" s="28">
        <v>35.771431399999997</v>
      </c>
      <c r="J28" s="28">
        <v>971.66311800000005</v>
      </c>
      <c r="K28" s="28">
        <v>953.33661800000004</v>
      </c>
      <c r="L28" s="28">
        <v>4.90305971</v>
      </c>
      <c r="M28" s="28">
        <v>99.197210100000007</v>
      </c>
      <c r="N28" s="28">
        <v>50.858015000000002</v>
      </c>
      <c r="O28" s="28">
        <v>980.611943</v>
      </c>
      <c r="P28" s="28">
        <v>1019.38806</v>
      </c>
    </row>
    <row r="29" spans="1:16" x14ac:dyDescent="0.25">
      <c r="A29" s="39">
        <v>0</v>
      </c>
      <c r="B29" s="39">
        <v>27</v>
      </c>
      <c r="C29" s="28">
        <v>12.522472199999999</v>
      </c>
      <c r="D29" s="28">
        <v>5.8507144799999997</v>
      </c>
      <c r="E29" s="28">
        <v>27.011120200000001</v>
      </c>
      <c r="F29" s="28">
        <v>21.572046</v>
      </c>
      <c r="G29" s="28">
        <v>17.241242499999998</v>
      </c>
      <c r="H29" s="28">
        <v>45.789040200000002</v>
      </c>
      <c r="I29" s="28">
        <v>36.091674900000001</v>
      </c>
      <c r="J29" s="28">
        <v>976.24046399999997</v>
      </c>
      <c r="K29" s="28">
        <v>954.34932900000001</v>
      </c>
      <c r="L29" s="28">
        <v>4.9247603099999999</v>
      </c>
      <c r="M29" s="28">
        <v>99.357029100000005</v>
      </c>
      <c r="N29" s="28">
        <v>51.162452600000002</v>
      </c>
      <c r="O29" s="28">
        <v>984.95206299999995</v>
      </c>
      <c r="P29" s="28">
        <v>1015.04794</v>
      </c>
    </row>
    <row r="30" spans="1:16" x14ac:dyDescent="0.25">
      <c r="A30" s="39">
        <v>0</v>
      </c>
      <c r="B30" s="39">
        <v>28</v>
      </c>
      <c r="C30" s="28">
        <v>12.6639354</v>
      </c>
      <c r="D30" s="28">
        <v>5.8245524199999998</v>
      </c>
      <c r="E30" s="28">
        <v>27.2391395</v>
      </c>
      <c r="F30" s="28">
        <v>21.626287900000001</v>
      </c>
      <c r="G30" s="28">
        <v>17.243869499999999</v>
      </c>
      <c r="H30" s="28">
        <v>45.634806099999999</v>
      </c>
      <c r="I30" s="28">
        <v>35.886825999999999</v>
      </c>
      <c r="J30" s="28">
        <v>972.10332800000003</v>
      </c>
      <c r="K30" s="28">
        <v>954.435565</v>
      </c>
      <c r="L30" s="28">
        <v>4.9190531000000002</v>
      </c>
      <c r="M30" s="28">
        <v>99.558659599999999</v>
      </c>
      <c r="N30" s="28">
        <v>51.316541999999998</v>
      </c>
      <c r="O30" s="28">
        <v>983.81061999999997</v>
      </c>
      <c r="P30" s="28">
        <v>1016.18938</v>
      </c>
    </row>
    <row r="31" spans="1:16" x14ac:dyDescent="0.25">
      <c r="A31" s="39">
        <v>0</v>
      </c>
      <c r="B31" s="39">
        <v>29</v>
      </c>
      <c r="C31" s="28">
        <v>12.7874122</v>
      </c>
      <c r="D31" s="28">
        <v>5.8551574500000001</v>
      </c>
      <c r="E31" s="28">
        <v>27.334978400000001</v>
      </c>
      <c r="F31" s="28">
        <v>21.648940499999998</v>
      </c>
      <c r="G31" s="28">
        <v>17.2522895</v>
      </c>
      <c r="H31" s="28">
        <v>45.819561200000003</v>
      </c>
      <c r="I31" s="28">
        <v>35.880871300000003</v>
      </c>
      <c r="J31" s="28">
        <v>975.85744699999998</v>
      </c>
      <c r="K31" s="28">
        <v>959.70440799999994</v>
      </c>
      <c r="L31" s="28">
        <v>4.9025573700000002</v>
      </c>
      <c r="M31" s="28">
        <v>99.6821786</v>
      </c>
      <c r="N31" s="28">
        <v>50.778736100000003</v>
      </c>
      <c r="O31" s="28">
        <v>980.51147400000002</v>
      </c>
      <c r="P31" s="28">
        <v>1019.48853</v>
      </c>
    </row>
    <row r="32" spans="1:16" x14ac:dyDescent="0.25">
      <c r="A32" s="39">
        <v>0</v>
      </c>
      <c r="B32" s="39">
        <v>30</v>
      </c>
      <c r="C32" s="28">
        <v>12.8286538</v>
      </c>
      <c r="D32" s="28">
        <v>5.80140324</v>
      </c>
      <c r="E32" s="28">
        <v>27.4649897</v>
      </c>
      <c r="F32" s="28">
        <v>21.764534699999999</v>
      </c>
      <c r="G32" s="28">
        <v>17.1284654</v>
      </c>
      <c r="H32" s="28">
        <v>45.738778699999997</v>
      </c>
      <c r="I32" s="28">
        <v>35.9939836</v>
      </c>
      <c r="J32" s="28">
        <v>971.984194</v>
      </c>
      <c r="K32" s="28">
        <v>958.64112899999998</v>
      </c>
      <c r="L32" s="28">
        <v>4.8218664899999997</v>
      </c>
      <c r="M32" s="28">
        <v>99.248850599999997</v>
      </c>
      <c r="N32" s="28">
        <v>51.105920099999999</v>
      </c>
      <c r="O32" s="28">
        <v>964.37329799999998</v>
      </c>
      <c r="P32" s="28">
        <v>1035.6267</v>
      </c>
    </row>
    <row r="33" spans="1:16" x14ac:dyDescent="0.25">
      <c r="A33" s="39">
        <v>0</v>
      </c>
      <c r="B33" s="39">
        <v>31</v>
      </c>
      <c r="C33" s="28">
        <v>12.8457884</v>
      </c>
      <c r="D33" s="28">
        <v>5.8793279500000004</v>
      </c>
      <c r="E33" s="28">
        <v>27.415174499999999</v>
      </c>
      <c r="F33" s="28">
        <v>21.872315400000002</v>
      </c>
      <c r="G33" s="28">
        <v>16.9707884</v>
      </c>
      <c r="H33" s="28">
        <v>45.8578464</v>
      </c>
      <c r="I33" s="28">
        <v>35.965513999999999</v>
      </c>
      <c r="J33" s="28">
        <v>975.08745199999998</v>
      </c>
      <c r="K33" s="28">
        <v>959.210466</v>
      </c>
      <c r="L33" s="28">
        <v>4.8196454800000001</v>
      </c>
      <c r="M33" s="28">
        <v>99.172093500000003</v>
      </c>
      <c r="N33" s="28">
        <v>50.973168399999999</v>
      </c>
      <c r="O33" s="28">
        <v>963.92909599999996</v>
      </c>
      <c r="P33" s="28">
        <v>1036.0708999999999</v>
      </c>
    </row>
    <row r="34" spans="1:16" x14ac:dyDescent="0.25">
      <c r="A34" s="39">
        <v>0</v>
      </c>
      <c r="B34" s="39">
        <v>32</v>
      </c>
      <c r="C34" s="28">
        <v>12.780388500000001</v>
      </c>
      <c r="D34" s="28">
        <v>5.9051605299999999</v>
      </c>
      <c r="E34" s="28">
        <v>27.291930000000001</v>
      </c>
      <c r="F34" s="28">
        <v>21.4778065</v>
      </c>
      <c r="G34" s="28">
        <v>16.849811599999999</v>
      </c>
      <c r="H34" s="28">
        <v>45.9289293</v>
      </c>
      <c r="I34" s="28">
        <v>35.872338599999999</v>
      </c>
      <c r="J34" s="28">
        <v>971.43492700000002</v>
      </c>
      <c r="K34" s="28">
        <v>960.80501800000002</v>
      </c>
      <c r="L34" s="28">
        <v>4.8371159099999996</v>
      </c>
      <c r="M34" s="28">
        <v>98.515691200000006</v>
      </c>
      <c r="N34" s="28">
        <v>51.359788399999999</v>
      </c>
      <c r="O34" s="28">
        <v>967.42318299999999</v>
      </c>
      <c r="P34" s="28">
        <v>1032.57682</v>
      </c>
    </row>
    <row r="35" spans="1:16" x14ac:dyDescent="0.25">
      <c r="A35" s="39">
        <v>0</v>
      </c>
      <c r="B35" s="39">
        <v>33</v>
      </c>
      <c r="C35" s="28">
        <v>12.815349299999999</v>
      </c>
      <c r="D35" s="28">
        <v>5.9043470100000004</v>
      </c>
      <c r="E35" s="28">
        <v>27.138574500000001</v>
      </c>
      <c r="F35" s="28">
        <v>21.509828899999999</v>
      </c>
      <c r="G35" s="28">
        <v>16.634365800000001</v>
      </c>
      <c r="H35" s="28">
        <v>46.247923900000004</v>
      </c>
      <c r="I35" s="28">
        <v>35.04907</v>
      </c>
      <c r="J35" s="28">
        <v>975.61076200000002</v>
      </c>
      <c r="K35" s="28">
        <v>964.17340000000002</v>
      </c>
      <c r="L35" s="28">
        <v>4.8067981800000004</v>
      </c>
      <c r="M35" s="28">
        <v>98.2712456</v>
      </c>
      <c r="N35" s="28">
        <v>51.490723699999997</v>
      </c>
      <c r="O35" s="28">
        <v>961.35963600000002</v>
      </c>
      <c r="P35" s="28">
        <v>1038.6403600000001</v>
      </c>
    </row>
    <row r="36" spans="1:16" x14ac:dyDescent="0.25">
      <c r="A36" s="39">
        <v>0</v>
      </c>
      <c r="B36" s="39">
        <v>34</v>
      </c>
      <c r="C36" s="28">
        <v>12.8430801</v>
      </c>
      <c r="D36" s="28">
        <v>5.9158674299999996</v>
      </c>
      <c r="E36" s="28">
        <v>27.023169800000002</v>
      </c>
      <c r="F36" s="28">
        <v>21.471134299999999</v>
      </c>
      <c r="G36" s="28">
        <v>16.708213799999999</v>
      </c>
      <c r="H36" s="28">
        <v>46.470775099999997</v>
      </c>
      <c r="I36" s="28">
        <v>35.316292500000003</v>
      </c>
      <c r="J36" s="28">
        <v>971.235544</v>
      </c>
      <c r="K36" s="28">
        <v>964.32890799999996</v>
      </c>
      <c r="L36" s="28">
        <v>4.8680822600000004</v>
      </c>
      <c r="M36" s="28">
        <v>98.333973999999998</v>
      </c>
      <c r="N36" s="28">
        <v>51.5645028</v>
      </c>
      <c r="O36" s="28">
        <v>973.61645199999998</v>
      </c>
      <c r="P36" s="28">
        <v>1026.38355</v>
      </c>
    </row>
    <row r="37" spans="1:16" x14ac:dyDescent="0.25">
      <c r="A37" s="39">
        <v>0</v>
      </c>
      <c r="B37" s="39">
        <v>35</v>
      </c>
      <c r="C37" s="28">
        <v>12.921068999999999</v>
      </c>
      <c r="D37" s="28">
        <v>5.8714602300000003</v>
      </c>
      <c r="E37" s="28">
        <v>27.122789000000001</v>
      </c>
      <c r="F37" s="28">
        <v>21.4246667</v>
      </c>
      <c r="G37" s="28">
        <v>16.662550100000001</v>
      </c>
      <c r="H37" s="28">
        <v>46.1362041</v>
      </c>
      <c r="I37" s="28">
        <v>34.914209300000003</v>
      </c>
      <c r="J37" s="28">
        <v>976.13349300000004</v>
      </c>
      <c r="K37" s="28">
        <v>965.99568199999999</v>
      </c>
      <c r="L37" s="28">
        <v>4.9432152699999996</v>
      </c>
      <c r="M37" s="28">
        <v>98.209384900000003</v>
      </c>
      <c r="N37" s="28">
        <v>52.371235900000002</v>
      </c>
      <c r="O37" s="28">
        <v>988.64305300000001</v>
      </c>
      <c r="P37" s="28">
        <v>1011.35695</v>
      </c>
    </row>
    <row r="38" spans="1:16" x14ac:dyDescent="0.25">
      <c r="A38" s="39">
        <v>0</v>
      </c>
      <c r="B38" s="39">
        <v>36</v>
      </c>
      <c r="C38" s="28">
        <v>12.965314899999999</v>
      </c>
      <c r="D38" s="28">
        <v>5.84661352</v>
      </c>
      <c r="E38" s="28">
        <v>27.032052400000001</v>
      </c>
      <c r="F38" s="28">
        <v>21.249900499999999</v>
      </c>
      <c r="G38" s="28">
        <v>16.808653199999998</v>
      </c>
      <c r="H38" s="28">
        <v>45.685083800000001</v>
      </c>
      <c r="I38" s="28">
        <v>35.163336299999997</v>
      </c>
      <c r="J38" s="28">
        <v>972.73074599999995</v>
      </c>
      <c r="K38" s="28">
        <v>966.34751900000003</v>
      </c>
      <c r="L38" s="28">
        <v>4.9204786599999997</v>
      </c>
      <c r="M38" s="28">
        <v>98.192300799999998</v>
      </c>
      <c r="N38" s="28">
        <v>52.213987299999999</v>
      </c>
      <c r="O38" s="28">
        <v>984.095731</v>
      </c>
      <c r="P38" s="28">
        <v>1015.90427</v>
      </c>
    </row>
    <row r="39" spans="1:16" x14ac:dyDescent="0.25">
      <c r="A39" s="39">
        <v>0</v>
      </c>
      <c r="B39" s="39">
        <v>37</v>
      </c>
      <c r="C39" s="28">
        <v>12.909050499999999</v>
      </c>
      <c r="D39" s="28">
        <v>5.8627861599999997</v>
      </c>
      <c r="E39" s="28">
        <v>26.849592399999999</v>
      </c>
      <c r="F39" s="28">
        <v>21.038814599999998</v>
      </c>
      <c r="G39" s="28">
        <v>16.970127900000001</v>
      </c>
      <c r="H39" s="28">
        <v>46.112137400000002</v>
      </c>
      <c r="I39" s="28">
        <v>34.746636899999999</v>
      </c>
      <c r="J39" s="28">
        <v>976.86078799999996</v>
      </c>
      <c r="K39" s="28">
        <v>969.99976700000002</v>
      </c>
      <c r="L39" s="28">
        <v>4.8703358300000001</v>
      </c>
      <c r="M39" s="28">
        <v>97.521349900000004</v>
      </c>
      <c r="N39" s="28">
        <v>52.646562199999998</v>
      </c>
      <c r="O39" s="28">
        <v>974.06716600000004</v>
      </c>
      <c r="P39" s="28">
        <v>1025.93283</v>
      </c>
    </row>
    <row r="40" spans="1:16" x14ac:dyDescent="0.25">
      <c r="A40" s="39">
        <v>0</v>
      </c>
      <c r="B40" s="39">
        <v>38</v>
      </c>
      <c r="C40" s="28">
        <v>12.9623081</v>
      </c>
      <c r="D40" s="28">
        <v>5.8129892999999999</v>
      </c>
      <c r="E40" s="28">
        <v>26.738978500000002</v>
      </c>
      <c r="F40" s="28">
        <v>21.132643900000001</v>
      </c>
      <c r="G40" s="28">
        <v>16.960132699999999</v>
      </c>
      <c r="H40" s="28">
        <v>45.738758300000001</v>
      </c>
      <c r="I40" s="28">
        <v>35.023955800000003</v>
      </c>
      <c r="J40" s="28">
        <v>973.31732799999997</v>
      </c>
      <c r="K40" s="28">
        <v>965.565744</v>
      </c>
      <c r="L40" s="28">
        <v>4.8636584000000003</v>
      </c>
      <c r="M40" s="28">
        <v>97.398262299999999</v>
      </c>
      <c r="N40" s="28">
        <v>52.765317400000001</v>
      </c>
      <c r="O40" s="28">
        <v>972.73167999999998</v>
      </c>
      <c r="P40" s="28">
        <v>1027.2683199999999</v>
      </c>
    </row>
    <row r="41" spans="1:16" x14ac:dyDescent="0.25">
      <c r="A41" s="39">
        <v>0</v>
      </c>
      <c r="B41" s="39">
        <v>39</v>
      </c>
      <c r="C41" s="28">
        <v>12.9611368</v>
      </c>
      <c r="D41" s="28">
        <v>5.7723426399999997</v>
      </c>
      <c r="E41" s="28">
        <v>26.775979499999998</v>
      </c>
      <c r="F41" s="28">
        <v>21.2178164</v>
      </c>
      <c r="G41" s="28">
        <v>17.125895700000001</v>
      </c>
      <c r="H41" s="28">
        <v>45.727734300000002</v>
      </c>
      <c r="I41" s="28">
        <v>35.533109799999998</v>
      </c>
      <c r="J41" s="28">
        <v>977.46971399999995</v>
      </c>
      <c r="K41" s="28">
        <v>964.91683599999999</v>
      </c>
      <c r="L41" s="28">
        <v>4.90504315</v>
      </c>
      <c r="M41" s="28">
        <v>97.836501900000002</v>
      </c>
      <c r="N41" s="28">
        <v>53.217199200000003</v>
      </c>
      <c r="O41" s="28">
        <v>981.00863000000004</v>
      </c>
      <c r="P41" s="28">
        <v>1018.99137</v>
      </c>
    </row>
    <row r="42" spans="1:16" x14ac:dyDescent="0.25">
      <c r="A42" s="39">
        <v>0</v>
      </c>
      <c r="B42" s="39">
        <v>40</v>
      </c>
      <c r="C42" s="28">
        <v>12.9164698</v>
      </c>
      <c r="D42" s="28">
        <v>5.7889001899999997</v>
      </c>
      <c r="E42" s="28">
        <v>27.1460303</v>
      </c>
      <c r="F42" s="28">
        <v>21.296522400000001</v>
      </c>
      <c r="G42" s="28">
        <v>16.837734099999999</v>
      </c>
      <c r="H42" s="28">
        <v>45.392574600000003</v>
      </c>
      <c r="I42" s="28">
        <v>35.162467900000003</v>
      </c>
      <c r="J42" s="28">
        <v>973.40345500000001</v>
      </c>
      <c r="K42" s="28">
        <v>959.72492799999998</v>
      </c>
      <c r="L42" s="28">
        <v>4.8757189800000003</v>
      </c>
      <c r="M42" s="28">
        <v>97.716666900000007</v>
      </c>
      <c r="N42" s="28">
        <v>53.387013600000003</v>
      </c>
      <c r="O42" s="28">
        <v>975.14379599999995</v>
      </c>
      <c r="P42" s="28">
        <v>1024.8561999999999</v>
      </c>
    </row>
    <row r="43" spans="1:16" x14ac:dyDescent="0.25">
      <c r="A43" s="39">
        <v>0</v>
      </c>
      <c r="B43" s="39">
        <v>41</v>
      </c>
      <c r="C43" s="28">
        <v>12.870896699999999</v>
      </c>
      <c r="D43" s="28">
        <v>5.80398295</v>
      </c>
      <c r="E43" s="28">
        <v>27.041783899999999</v>
      </c>
      <c r="F43" s="28">
        <v>21.2339871</v>
      </c>
      <c r="G43" s="28">
        <v>17.011526400000001</v>
      </c>
      <c r="H43" s="28">
        <v>45.717165199999997</v>
      </c>
      <c r="I43" s="28">
        <v>35.170642299999997</v>
      </c>
      <c r="J43" s="28">
        <v>976.88943600000005</v>
      </c>
      <c r="K43" s="28">
        <v>961.24718800000005</v>
      </c>
      <c r="L43" s="28">
        <v>4.83402098</v>
      </c>
      <c r="M43" s="28">
        <v>97.997280799999999</v>
      </c>
      <c r="N43" s="28">
        <v>53.203016599999998</v>
      </c>
      <c r="O43" s="28">
        <v>966.80419600000005</v>
      </c>
      <c r="P43" s="28">
        <v>1033.1958</v>
      </c>
    </row>
    <row r="44" spans="1:16" x14ac:dyDescent="0.25">
      <c r="A44" s="39">
        <v>0</v>
      </c>
      <c r="B44" s="39">
        <v>42</v>
      </c>
      <c r="C44" s="28">
        <v>12.8037799</v>
      </c>
      <c r="D44" s="28">
        <v>5.7786422399999999</v>
      </c>
      <c r="E44" s="28">
        <v>26.926442900000001</v>
      </c>
      <c r="F44" s="28">
        <v>21.3637707</v>
      </c>
      <c r="G44" s="28">
        <v>16.982613600000001</v>
      </c>
      <c r="H44" s="28">
        <v>45.984205899999999</v>
      </c>
      <c r="I44" s="28">
        <v>34.7707105</v>
      </c>
      <c r="J44" s="28">
        <v>973.263822</v>
      </c>
      <c r="K44" s="28">
        <v>966.57951000000003</v>
      </c>
      <c r="L44" s="28">
        <v>4.8264114600000001</v>
      </c>
      <c r="M44" s="28">
        <v>97.763985599999998</v>
      </c>
      <c r="N44" s="28">
        <v>52.918202399999998</v>
      </c>
      <c r="O44" s="28">
        <v>965.28229299999998</v>
      </c>
      <c r="P44" s="28">
        <v>1034.7177099999999</v>
      </c>
    </row>
    <row r="45" spans="1:16" x14ac:dyDescent="0.25">
      <c r="A45" s="39">
        <v>0</v>
      </c>
      <c r="B45" s="39">
        <v>43</v>
      </c>
      <c r="C45" s="28">
        <v>12.831809</v>
      </c>
      <c r="D45" s="28">
        <v>5.8251954499999998</v>
      </c>
      <c r="E45" s="28">
        <v>26.884641899999998</v>
      </c>
      <c r="F45" s="28">
        <v>21.4620937</v>
      </c>
      <c r="G45" s="28">
        <v>17.048615300000002</v>
      </c>
      <c r="H45" s="28">
        <v>45.496348599999997</v>
      </c>
      <c r="I45" s="28">
        <v>34.719536099999999</v>
      </c>
      <c r="J45" s="28">
        <v>976.38253799999995</v>
      </c>
      <c r="K45" s="28">
        <v>972.06368899999995</v>
      </c>
      <c r="L45" s="28">
        <v>4.78399792</v>
      </c>
      <c r="M45" s="28">
        <v>97.906502599999996</v>
      </c>
      <c r="N45" s="28">
        <v>52.465367299999997</v>
      </c>
      <c r="O45" s="28">
        <v>956.79958499999998</v>
      </c>
      <c r="P45" s="28">
        <v>1043.2004199999999</v>
      </c>
    </row>
    <row r="46" spans="1:16" x14ac:dyDescent="0.25">
      <c r="A46" s="39">
        <v>0</v>
      </c>
      <c r="B46" s="39">
        <v>44</v>
      </c>
      <c r="C46" s="28">
        <v>12.869087</v>
      </c>
      <c r="D46" s="28">
        <v>5.9112193299999998</v>
      </c>
      <c r="E46" s="28">
        <v>26.956895400000001</v>
      </c>
      <c r="F46" s="28">
        <v>21.688186999999999</v>
      </c>
      <c r="G46" s="28">
        <v>17.060720400000001</v>
      </c>
      <c r="H46" s="28">
        <v>45.525559600000001</v>
      </c>
      <c r="I46" s="28">
        <v>34.895864199999998</v>
      </c>
      <c r="J46" s="28">
        <v>971.05912000000001</v>
      </c>
      <c r="K46" s="28">
        <v>968.81420300000002</v>
      </c>
      <c r="L46" s="28">
        <v>4.8116640000000004</v>
      </c>
      <c r="M46" s="28">
        <v>98.392094999999998</v>
      </c>
      <c r="N46" s="28">
        <v>51.975864199999997</v>
      </c>
      <c r="O46" s="28">
        <v>962.33279900000002</v>
      </c>
      <c r="P46" s="28">
        <v>1037.6672000000001</v>
      </c>
    </row>
    <row r="47" spans="1:16" x14ac:dyDescent="0.25">
      <c r="A47" s="39">
        <v>0</v>
      </c>
      <c r="B47" s="39">
        <v>45</v>
      </c>
      <c r="C47" s="28">
        <v>12.847914299999999</v>
      </c>
      <c r="D47" s="28">
        <v>5.8804328100000003</v>
      </c>
      <c r="E47" s="28">
        <v>26.987851200000001</v>
      </c>
      <c r="F47" s="28">
        <v>21.625111400000002</v>
      </c>
      <c r="G47" s="28">
        <v>17.1626662</v>
      </c>
      <c r="H47" s="28">
        <v>45.463830899999998</v>
      </c>
      <c r="I47" s="28">
        <v>35.084819500000002</v>
      </c>
      <c r="J47" s="28">
        <v>975.10088199999996</v>
      </c>
      <c r="K47" s="28">
        <v>968.53820900000005</v>
      </c>
      <c r="L47" s="28">
        <v>4.85250278</v>
      </c>
      <c r="M47" s="28">
        <v>98.569025600000003</v>
      </c>
      <c r="N47" s="28">
        <v>51.907118199999999</v>
      </c>
      <c r="O47" s="28">
        <v>970.50055499999996</v>
      </c>
      <c r="P47" s="28">
        <v>1029.49944</v>
      </c>
    </row>
    <row r="48" spans="1:16" x14ac:dyDescent="0.25">
      <c r="A48" s="39">
        <v>0</v>
      </c>
      <c r="B48" s="39">
        <v>46</v>
      </c>
      <c r="C48" s="28">
        <v>12.9023106</v>
      </c>
      <c r="D48" s="28">
        <v>5.8929486899999999</v>
      </c>
      <c r="E48" s="28">
        <v>26.799386999999999</v>
      </c>
      <c r="F48" s="28">
        <v>21.5697762</v>
      </c>
      <c r="G48" s="28">
        <v>17.3565088</v>
      </c>
      <c r="H48" s="28">
        <v>45.164764699999999</v>
      </c>
      <c r="I48" s="28">
        <v>35.703267699999998</v>
      </c>
      <c r="J48" s="28">
        <v>971.32997799999998</v>
      </c>
      <c r="K48" s="28">
        <v>963.03149199999996</v>
      </c>
      <c r="L48" s="28">
        <v>4.8520763000000002</v>
      </c>
      <c r="M48" s="28">
        <v>99.041505999999998</v>
      </c>
      <c r="N48" s="28">
        <v>52.715272200000001</v>
      </c>
      <c r="O48" s="28">
        <v>970.41525999999999</v>
      </c>
      <c r="P48" s="28">
        <v>1029.58474</v>
      </c>
    </row>
    <row r="49" spans="1:16" x14ac:dyDescent="0.25">
      <c r="A49" s="39">
        <v>0</v>
      </c>
      <c r="B49" s="39">
        <v>47</v>
      </c>
      <c r="C49" s="28">
        <v>12.8867265</v>
      </c>
      <c r="D49" s="28">
        <v>5.8466242199999998</v>
      </c>
      <c r="E49" s="28">
        <v>27.2054787</v>
      </c>
      <c r="F49" s="28">
        <v>21.6709812</v>
      </c>
      <c r="G49" s="28">
        <v>17.230157800000001</v>
      </c>
      <c r="H49" s="28">
        <v>45.447764599999999</v>
      </c>
      <c r="I49" s="28">
        <v>36.1381625</v>
      </c>
      <c r="J49" s="28">
        <v>975.06196499999999</v>
      </c>
      <c r="K49" s="28">
        <v>965.58126500000003</v>
      </c>
      <c r="L49" s="28">
        <v>4.9046987199999998</v>
      </c>
      <c r="M49" s="28">
        <v>99.6171978</v>
      </c>
      <c r="N49" s="28">
        <v>53.286571600000002</v>
      </c>
      <c r="O49" s="28">
        <v>980.93974400000002</v>
      </c>
      <c r="P49" s="28">
        <v>1019.06026</v>
      </c>
    </row>
    <row r="50" spans="1:16" x14ac:dyDescent="0.25">
      <c r="A50" s="39">
        <v>0</v>
      </c>
      <c r="B50" s="39">
        <v>48</v>
      </c>
      <c r="C50" s="28">
        <v>12.8839974</v>
      </c>
      <c r="D50" s="28">
        <v>5.8073261</v>
      </c>
      <c r="E50" s="28">
        <v>27.3611678</v>
      </c>
      <c r="F50" s="28">
        <v>21.680935699999999</v>
      </c>
      <c r="G50" s="28">
        <v>17.284587599999998</v>
      </c>
      <c r="H50" s="28">
        <v>45.621591899999999</v>
      </c>
      <c r="I50" s="28">
        <v>36.5298941</v>
      </c>
      <c r="J50" s="28">
        <v>971.86253199999999</v>
      </c>
      <c r="K50" s="28">
        <v>966.45179700000006</v>
      </c>
      <c r="L50" s="28">
        <v>4.9266169800000004</v>
      </c>
      <c r="M50" s="28">
        <v>99.650911399999998</v>
      </c>
      <c r="N50" s="28">
        <v>52.802086299999999</v>
      </c>
      <c r="O50" s="28">
        <v>985.323397</v>
      </c>
      <c r="P50" s="28">
        <v>1014.6766</v>
      </c>
    </row>
    <row r="51" spans="1:16" x14ac:dyDescent="0.25">
      <c r="A51" s="39">
        <v>0</v>
      </c>
      <c r="B51" s="39">
        <v>49</v>
      </c>
      <c r="C51" s="28">
        <v>12.8881347</v>
      </c>
      <c r="D51" s="28">
        <v>5.8006397200000004</v>
      </c>
      <c r="E51" s="28">
        <v>27.407748399999999</v>
      </c>
      <c r="F51" s="28">
        <v>21.670448199999999</v>
      </c>
      <c r="G51" s="28">
        <v>17.2135113</v>
      </c>
      <c r="H51" s="28">
        <v>45.701549399999998</v>
      </c>
      <c r="I51" s="28">
        <v>36.032524100000003</v>
      </c>
      <c r="J51" s="28">
        <v>975.65127800000005</v>
      </c>
      <c r="K51" s="28">
        <v>968.74210400000004</v>
      </c>
      <c r="L51" s="28">
        <v>4.9447426800000001</v>
      </c>
      <c r="M51" s="28">
        <v>99.290316799999999</v>
      </c>
      <c r="N51" s="28">
        <v>53.493107000000002</v>
      </c>
      <c r="O51" s="28">
        <v>988.94853599999999</v>
      </c>
      <c r="P51" s="28">
        <v>1011.05146</v>
      </c>
    </row>
    <row r="52" spans="1:16" x14ac:dyDescent="0.25">
      <c r="A52" s="39">
        <v>0</v>
      </c>
      <c r="B52" s="39">
        <v>50</v>
      </c>
      <c r="C52" s="28">
        <v>12.9054029</v>
      </c>
      <c r="D52" s="28">
        <v>5.8261294699999997</v>
      </c>
      <c r="E52" s="28">
        <v>27.561185500000001</v>
      </c>
      <c r="F52" s="28">
        <v>21.660123200000001</v>
      </c>
      <c r="G52" s="28">
        <v>17.073837999999999</v>
      </c>
      <c r="H52" s="28">
        <v>45.983106900000003</v>
      </c>
      <c r="I52" s="28">
        <v>35.775500000000001</v>
      </c>
      <c r="J52" s="28">
        <v>971.89147100000002</v>
      </c>
      <c r="K52" s="28">
        <v>971.78109900000004</v>
      </c>
      <c r="L52" s="28">
        <v>4.9546704400000001</v>
      </c>
      <c r="M52" s="28">
        <v>98.650409300000007</v>
      </c>
      <c r="N52" s="28">
        <v>53.630989700000001</v>
      </c>
      <c r="O52" s="28">
        <v>990.93408899999997</v>
      </c>
      <c r="P52" s="28">
        <v>1009.06591</v>
      </c>
    </row>
    <row r="53" spans="1:16" x14ac:dyDescent="0.25">
      <c r="A53" s="39">
        <v>0</v>
      </c>
      <c r="B53" s="39">
        <v>51</v>
      </c>
      <c r="C53" s="28">
        <v>13.0538601</v>
      </c>
      <c r="D53" s="28">
        <v>5.8633994300000003</v>
      </c>
      <c r="E53" s="28">
        <v>27.4529858</v>
      </c>
      <c r="F53" s="28">
        <v>21.7475837</v>
      </c>
      <c r="G53" s="28">
        <v>17.277995300000001</v>
      </c>
      <c r="H53" s="28">
        <v>45.877372200000003</v>
      </c>
      <c r="I53" s="28">
        <v>35.873050300000003</v>
      </c>
      <c r="J53" s="28">
        <v>974.67346799999996</v>
      </c>
      <c r="K53" s="28">
        <v>978.91372999999999</v>
      </c>
      <c r="L53" s="28">
        <v>4.9424276599999999</v>
      </c>
      <c r="M53" s="28">
        <v>99.210459599999993</v>
      </c>
      <c r="N53" s="28">
        <v>53.548893</v>
      </c>
      <c r="O53" s="28">
        <v>988.48553200000003</v>
      </c>
      <c r="P53" s="28">
        <v>1011.51447</v>
      </c>
    </row>
    <row r="54" spans="1:16" x14ac:dyDescent="0.25">
      <c r="A54" s="39">
        <v>0</v>
      </c>
      <c r="B54" s="39">
        <v>52</v>
      </c>
      <c r="C54" s="28">
        <v>12.9803692</v>
      </c>
      <c r="D54" s="28">
        <v>5.8679516400000002</v>
      </c>
      <c r="E54" s="28">
        <v>27.573370100000002</v>
      </c>
      <c r="F54" s="28">
        <v>21.719629099999999</v>
      </c>
      <c r="G54" s="28">
        <v>17.378144200000001</v>
      </c>
      <c r="H54" s="28">
        <v>45.901275400000003</v>
      </c>
      <c r="I54" s="28">
        <v>35.297569299999999</v>
      </c>
      <c r="J54" s="28">
        <v>971.46662300000003</v>
      </c>
      <c r="K54" s="28">
        <v>973.72529099999997</v>
      </c>
      <c r="L54" s="28">
        <v>4.9783174499999996</v>
      </c>
      <c r="M54" s="28">
        <v>99.289367799999994</v>
      </c>
      <c r="N54" s="28">
        <v>53.8148287</v>
      </c>
      <c r="O54" s="28">
        <v>995.66349000000002</v>
      </c>
      <c r="P54" s="28">
        <v>1004.33651</v>
      </c>
    </row>
    <row r="55" spans="1:16" x14ac:dyDescent="0.25">
      <c r="A55" s="39">
        <v>0</v>
      </c>
      <c r="B55" s="39">
        <v>53</v>
      </c>
      <c r="C55" s="28">
        <v>13.0003075</v>
      </c>
      <c r="D55" s="28">
        <v>5.8631042200000003</v>
      </c>
      <c r="E55" s="28">
        <v>27.394781800000001</v>
      </c>
      <c r="F55" s="28">
        <v>21.729091700000001</v>
      </c>
      <c r="G55" s="28">
        <v>17.480298300000001</v>
      </c>
      <c r="H55" s="28">
        <v>45.847174000000003</v>
      </c>
      <c r="I55" s="28">
        <v>34.999846699999999</v>
      </c>
      <c r="J55" s="28">
        <v>975.026701</v>
      </c>
      <c r="K55" s="28">
        <v>979.06744500000002</v>
      </c>
      <c r="L55" s="28">
        <v>4.9753214899999998</v>
      </c>
      <c r="M55" s="28">
        <v>99.441727299999997</v>
      </c>
      <c r="N55" s="28">
        <v>54.2491135</v>
      </c>
      <c r="O55" s="28">
        <v>995.06429800000001</v>
      </c>
      <c r="P55" s="28">
        <v>1004.9357</v>
      </c>
    </row>
    <row r="56" spans="1:16" x14ac:dyDescent="0.25">
      <c r="A56" s="39">
        <v>0</v>
      </c>
      <c r="B56" s="39">
        <v>54</v>
      </c>
      <c r="C56" s="28">
        <v>13.0038442</v>
      </c>
      <c r="D56" s="28">
        <v>5.8410824899999998</v>
      </c>
      <c r="E56" s="28">
        <v>27.362452000000001</v>
      </c>
      <c r="F56" s="28">
        <v>21.733661600000001</v>
      </c>
      <c r="G56" s="28">
        <v>17.480549100000001</v>
      </c>
      <c r="H56" s="28">
        <v>45.999474300000003</v>
      </c>
      <c r="I56" s="28">
        <v>35.2784792</v>
      </c>
      <c r="J56" s="28">
        <v>971.80803800000001</v>
      </c>
      <c r="K56" s="28">
        <v>979.56489099999999</v>
      </c>
      <c r="L56" s="28">
        <v>5.0387501400000003</v>
      </c>
      <c r="M56" s="28">
        <v>99.425748200000001</v>
      </c>
      <c r="N56" s="28">
        <v>54.296973999999999</v>
      </c>
      <c r="O56" s="28">
        <v>1007.75003</v>
      </c>
      <c r="P56" s="28">
        <v>992.24997099999996</v>
      </c>
    </row>
    <row r="57" spans="1:16" x14ac:dyDescent="0.25">
      <c r="A57" s="39">
        <v>0</v>
      </c>
      <c r="B57" s="39">
        <v>55</v>
      </c>
      <c r="C57" s="28">
        <v>13.126446100000001</v>
      </c>
      <c r="D57" s="28">
        <v>5.8537500600000003</v>
      </c>
      <c r="E57" s="28">
        <v>27.338041100000002</v>
      </c>
      <c r="F57" s="28">
        <v>21.7183016</v>
      </c>
      <c r="G57" s="28">
        <v>17.564179599999999</v>
      </c>
      <c r="H57" s="28">
        <v>46.8058239</v>
      </c>
      <c r="I57" s="28">
        <v>35.286277900000002</v>
      </c>
      <c r="J57" s="28">
        <v>974.57091600000001</v>
      </c>
      <c r="K57" s="28">
        <v>979.72872099999995</v>
      </c>
      <c r="L57" s="28">
        <v>5.0649090399999999</v>
      </c>
      <c r="M57" s="28">
        <v>99.674250999999998</v>
      </c>
      <c r="N57" s="28">
        <v>54.170082399999998</v>
      </c>
      <c r="O57" s="28">
        <v>1012.98181</v>
      </c>
      <c r="P57" s="28">
        <v>987.018192</v>
      </c>
    </row>
    <row r="58" spans="1:16" x14ac:dyDescent="0.25">
      <c r="A58" s="39">
        <v>0</v>
      </c>
      <c r="B58" s="39">
        <v>56</v>
      </c>
      <c r="C58" s="28">
        <v>13.137223499999999</v>
      </c>
      <c r="D58" s="28">
        <v>5.8756437200000002</v>
      </c>
      <c r="E58" s="28">
        <v>27.537070100000001</v>
      </c>
      <c r="F58" s="28">
        <v>21.721442499999998</v>
      </c>
      <c r="G58" s="28">
        <v>17.7225866</v>
      </c>
      <c r="H58" s="28">
        <v>46.5735581</v>
      </c>
      <c r="I58" s="28">
        <v>35.495659799999999</v>
      </c>
      <c r="J58" s="28">
        <v>970.91851499999996</v>
      </c>
      <c r="K58" s="28">
        <v>978.292374</v>
      </c>
      <c r="L58" s="28">
        <v>5.0262398800000003</v>
      </c>
      <c r="M58" s="28">
        <v>100.23039300000001</v>
      </c>
      <c r="N58" s="28">
        <v>53.817348299999999</v>
      </c>
      <c r="O58" s="28">
        <v>1005.24798</v>
      </c>
      <c r="P58" s="28">
        <v>994.75202400000001</v>
      </c>
    </row>
    <row r="59" spans="1:16" x14ac:dyDescent="0.25">
      <c r="A59" s="39">
        <v>0</v>
      </c>
      <c r="B59" s="39">
        <v>57</v>
      </c>
      <c r="C59" s="28">
        <v>13.2430071</v>
      </c>
      <c r="D59" s="28">
        <v>5.91039768</v>
      </c>
      <c r="E59" s="28">
        <v>27.535924099999999</v>
      </c>
      <c r="F59" s="28">
        <v>21.773468300000001</v>
      </c>
      <c r="G59" s="28">
        <v>17.765604</v>
      </c>
      <c r="H59" s="28">
        <v>47.128428499999998</v>
      </c>
      <c r="I59" s="28">
        <v>35.517066399999997</v>
      </c>
      <c r="J59" s="28">
        <v>973.40304200000003</v>
      </c>
      <c r="K59" s="28">
        <v>981.52149999999995</v>
      </c>
      <c r="L59" s="28">
        <v>4.9933368500000004</v>
      </c>
      <c r="M59" s="28">
        <v>100.194918</v>
      </c>
      <c r="N59" s="28">
        <v>53.567168600000002</v>
      </c>
      <c r="O59" s="28">
        <v>998.66736900000001</v>
      </c>
      <c r="P59" s="28">
        <v>1001.33263</v>
      </c>
    </row>
    <row r="60" spans="1:16" x14ac:dyDescent="0.25">
      <c r="A60" s="39">
        <v>0</v>
      </c>
      <c r="B60" s="39">
        <v>58</v>
      </c>
      <c r="C60" s="28">
        <v>13.2610946</v>
      </c>
      <c r="D60" s="28">
        <v>5.9344544800000003</v>
      </c>
      <c r="E60" s="28">
        <v>27.530486499999999</v>
      </c>
      <c r="F60" s="28">
        <v>22.036840399999999</v>
      </c>
      <c r="G60" s="28">
        <v>17.866457400000002</v>
      </c>
      <c r="H60" s="28">
        <v>47.413102600000002</v>
      </c>
      <c r="I60" s="28">
        <v>36.042163000000002</v>
      </c>
      <c r="J60" s="28">
        <v>969.07434999999998</v>
      </c>
      <c r="K60" s="28">
        <v>981.68201299999998</v>
      </c>
      <c r="L60" s="28">
        <v>5.0139549700000003</v>
      </c>
      <c r="M60" s="28">
        <v>100.83636300000001</v>
      </c>
      <c r="N60" s="28">
        <v>53.741247100000002</v>
      </c>
      <c r="O60" s="28">
        <v>1002.79099</v>
      </c>
      <c r="P60" s="28">
        <v>997.20900500000005</v>
      </c>
    </row>
    <row r="61" spans="1:16" x14ac:dyDescent="0.25">
      <c r="A61" s="39">
        <v>0</v>
      </c>
      <c r="B61" s="39">
        <v>59</v>
      </c>
      <c r="C61" s="28">
        <v>13.269376299999999</v>
      </c>
      <c r="D61" s="28">
        <v>5.9923581300000004</v>
      </c>
      <c r="E61" s="28">
        <v>27.696101800000001</v>
      </c>
      <c r="F61" s="28">
        <v>22.322701599999998</v>
      </c>
      <c r="G61" s="28">
        <v>17.979361699999998</v>
      </c>
      <c r="H61" s="28">
        <v>47.5689931</v>
      </c>
      <c r="I61" s="28">
        <v>36.1972193</v>
      </c>
      <c r="J61" s="28">
        <v>971.01314100000002</v>
      </c>
      <c r="K61" s="28">
        <v>979.02926400000001</v>
      </c>
      <c r="L61" s="28">
        <v>5.0750410199999996</v>
      </c>
      <c r="M61" s="28">
        <v>101.31908900000001</v>
      </c>
      <c r="N61" s="28">
        <v>53.755298099999997</v>
      </c>
      <c r="O61" s="28">
        <v>1015.0082</v>
      </c>
      <c r="P61" s="28">
        <v>984.99179600000002</v>
      </c>
    </row>
    <row r="62" spans="1:16" x14ac:dyDescent="0.25">
      <c r="A62" s="39">
        <v>0</v>
      </c>
      <c r="B62" s="39">
        <v>60</v>
      </c>
      <c r="C62" s="28">
        <v>13.265647</v>
      </c>
      <c r="D62" s="28">
        <v>5.9597491700000003</v>
      </c>
      <c r="E62" s="28">
        <v>27.486991400000001</v>
      </c>
      <c r="F62" s="28">
        <v>22.5457809</v>
      </c>
      <c r="G62" s="28">
        <v>17.890091300000002</v>
      </c>
      <c r="H62" s="28">
        <v>47.948069599999997</v>
      </c>
      <c r="I62" s="28">
        <v>35.689696400000003</v>
      </c>
      <c r="J62" s="28">
        <v>967.85980700000005</v>
      </c>
      <c r="K62" s="28">
        <v>972.43609100000003</v>
      </c>
      <c r="L62" s="28">
        <v>5.0928521499999997</v>
      </c>
      <c r="M62" s="28">
        <v>101.19291200000001</v>
      </c>
      <c r="N62" s="28">
        <v>54.648637600000001</v>
      </c>
      <c r="O62" s="28">
        <v>1018.57043</v>
      </c>
      <c r="P62" s="28">
        <v>981.42957000000001</v>
      </c>
    </row>
    <row r="63" spans="1:16" x14ac:dyDescent="0.25">
      <c r="A63" s="39">
        <v>0</v>
      </c>
      <c r="B63" s="39">
        <v>61</v>
      </c>
      <c r="C63" s="28">
        <v>13.2054738</v>
      </c>
      <c r="D63" s="28">
        <v>5.9687436900000002</v>
      </c>
      <c r="E63" s="28">
        <v>27.602816600000001</v>
      </c>
      <c r="F63" s="28">
        <v>22.406576099999999</v>
      </c>
      <c r="G63" s="28">
        <v>17.986033299999999</v>
      </c>
      <c r="H63" s="28">
        <v>47.692119300000002</v>
      </c>
      <c r="I63" s="28">
        <v>35.340452300000003</v>
      </c>
      <c r="J63" s="28">
        <v>971.46727199999998</v>
      </c>
      <c r="K63" s="28">
        <v>973.45304899999996</v>
      </c>
      <c r="L63" s="28">
        <v>5.0639058199999996</v>
      </c>
      <c r="M63" s="28">
        <v>100.955814</v>
      </c>
      <c r="N63" s="28">
        <v>53.829897699999997</v>
      </c>
      <c r="O63" s="28">
        <v>1012.78116</v>
      </c>
      <c r="P63" s="28">
        <v>987.21883600000001</v>
      </c>
    </row>
    <row r="64" spans="1:16" x14ac:dyDescent="0.25">
      <c r="A64" s="39">
        <v>0</v>
      </c>
      <c r="B64" s="39">
        <v>62</v>
      </c>
      <c r="C64" s="28">
        <v>13.110941499999999</v>
      </c>
      <c r="D64" s="28">
        <v>5.9486963700000004</v>
      </c>
      <c r="E64" s="28">
        <v>27.583200399999999</v>
      </c>
      <c r="F64" s="28">
        <v>22.013280200000001</v>
      </c>
      <c r="G64" s="28">
        <v>17.9861167</v>
      </c>
      <c r="H64" s="28">
        <v>47.570863799999998</v>
      </c>
      <c r="I64" s="28">
        <v>35.073666299999999</v>
      </c>
      <c r="J64" s="28">
        <v>969.34087</v>
      </c>
      <c r="K64" s="28">
        <v>974.08378400000004</v>
      </c>
      <c r="L64" s="28">
        <v>5.0007157099999997</v>
      </c>
      <c r="M64" s="28">
        <v>100.700034</v>
      </c>
      <c r="N64" s="28">
        <v>53.810987400000002</v>
      </c>
      <c r="O64" s="28">
        <v>1000.14314</v>
      </c>
      <c r="P64" s="28">
        <v>999.85685799999999</v>
      </c>
    </row>
    <row r="65" spans="1:16" x14ac:dyDescent="0.25">
      <c r="A65" s="39">
        <v>0</v>
      </c>
      <c r="B65" s="39">
        <v>63</v>
      </c>
      <c r="C65" s="28">
        <v>13.1530706</v>
      </c>
      <c r="D65" s="28">
        <v>5.9868315900000004</v>
      </c>
      <c r="E65" s="28">
        <v>27.873226500000001</v>
      </c>
      <c r="F65" s="28">
        <v>22.022592800000002</v>
      </c>
      <c r="G65" s="28">
        <v>18.0384843</v>
      </c>
      <c r="H65" s="28">
        <v>47.754420000000003</v>
      </c>
      <c r="I65" s="28">
        <v>35.894895200000001</v>
      </c>
      <c r="J65" s="28">
        <v>971.70883400000002</v>
      </c>
      <c r="K65" s="28">
        <v>976.11826399999995</v>
      </c>
      <c r="L65" s="28">
        <v>5.0205228499999999</v>
      </c>
      <c r="M65" s="28">
        <v>101.028898</v>
      </c>
      <c r="N65" s="28">
        <v>54.441439799999998</v>
      </c>
      <c r="O65" s="28">
        <v>1004.10457</v>
      </c>
      <c r="P65" s="28">
        <v>995.89543000000003</v>
      </c>
    </row>
    <row r="66" spans="1:16" x14ac:dyDescent="0.25">
      <c r="A66" s="39">
        <v>0</v>
      </c>
      <c r="B66" s="39">
        <v>64</v>
      </c>
      <c r="C66" s="28">
        <v>13.037131</v>
      </c>
      <c r="D66" s="28">
        <v>5.9561847600000002</v>
      </c>
      <c r="E66" s="28">
        <v>28.0782661</v>
      </c>
      <c r="F66" s="28">
        <v>21.829516300000002</v>
      </c>
      <c r="G66" s="28">
        <v>18.1743205</v>
      </c>
      <c r="H66" s="28">
        <v>47.5357056</v>
      </c>
      <c r="I66" s="28">
        <v>35.426042600000002</v>
      </c>
      <c r="J66" s="28">
        <v>969.51135499999998</v>
      </c>
      <c r="K66" s="28">
        <v>974.18951800000002</v>
      </c>
      <c r="L66" s="28">
        <v>5.0264658400000002</v>
      </c>
      <c r="M66" s="28">
        <v>100.615638</v>
      </c>
      <c r="N66" s="28">
        <v>54.1058837</v>
      </c>
      <c r="O66" s="28">
        <v>1005.29317</v>
      </c>
      <c r="P66" s="28">
        <v>994.70683199999996</v>
      </c>
    </row>
    <row r="67" spans="1:16" x14ac:dyDescent="0.25">
      <c r="A67" s="39">
        <v>0</v>
      </c>
      <c r="B67" s="39">
        <v>65</v>
      </c>
      <c r="C67" s="28">
        <v>13.0347299</v>
      </c>
      <c r="D67" s="28">
        <v>5.9705291999999996</v>
      </c>
      <c r="E67" s="28">
        <v>28.0547209</v>
      </c>
      <c r="F67" s="28">
        <v>21.893488300000001</v>
      </c>
      <c r="G67" s="28">
        <v>18.422088200000001</v>
      </c>
      <c r="H67" s="28">
        <v>47.691545699999999</v>
      </c>
      <c r="I67" s="28">
        <v>35.746254800000003</v>
      </c>
      <c r="J67" s="28">
        <v>972.25904400000002</v>
      </c>
      <c r="K67" s="28">
        <v>966.71275800000001</v>
      </c>
      <c r="L67" s="28">
        <v>5.0410453799999999</v>
      </c>
      <c r="M67" s="28">
        <v>101.264805</v>
      </c>
      <c r="N67" s="28">
        <v>54.306827499999997</v>
      </c>
      <c r="O67" s="28">
        <v>1008.20908</v>
      </c>
      <c r="P67" s="28">
        <v>991.79092300000002</v>
      </c>
    </row>
    <row r="68" spans="1:16" x14ac:dyDescent="0.25">
      <c r="A68" s="39">
        <v>0</v>
      </c>
      <c r="B68" s="39">
        <v>66</v>
      </c>
      <c r="C68" s="28">
        <v>13.0247454</v>
      </c>
      <c r="D68" s="28">
        <v>5.9548931700000001</v>
      </c>
      <c r="E68" s="28">
        <v>27.9422529</v>
      </c>
      <c r="F68" s="28">
        <v>21.852308399999998</v>
      </c>
      <c r="G68" s="28">
        <v>18.292552000000001</v>
      </c>
      <c r="H68" s="28">
        <v>47.9354035</v>
      </c>
      <c r="I68" s="28">
        <v>35.636114300000003</v>
      </c>
      <c r="J68" s="28">
        <v>969.40454999999997</v>
      </c>
      <c r="K68" s="28">
        <v>960.40474300000005</v>
      </c>
      <c r="L68" s="28">
        <v>5.1047364699999997</v>
      </c>
      <c r="M68" s="28">
        <v>101.173239</v>
      </c>
      <c r="N68" s="28">
        <v>54.907528800000001</v>
      </c>
      <c r="O68" s="28">
        <v>1020.94729</v>
      </c>
      <c r="P68" s="28">
        <v>979.05270599999994</v>
      </c>
    </row>
    <row r="69" spans="1:16" x14ac:dyDescent="0.25">
      <c r="A69" s="39">
        <v>0</v>
      </c>
      <c r="B69" s="39">
        <v>67</v>
      </c>
      <c r="C69" s="28">
        <v>13.091150300000001</v>
      </c>
      <c r="D69" s="28">
        <v>5.9394479999999996</v>
      </c>
      <c r="E69" s="28">
        <v>27.930513099999999</v>
      </c>
      <c r="F69" s="28">
        <v>21.787737</v>
      </c>
      <c r="G69" s="28">
        <v>18.350114399999999</v>
      </c>
      <c r="H69" s="28">
        <v>48.6696022</v>
      </c>
      <c r="I69" s="28">
        <v>36.238343</v>
      </c>
      <c r="J69" s="28">
        <v>972.32889499999999</v>
      </c>
      <c r="K69" s="28">
        <v>968.291516</v>
      </c>
      <c r="L69" s="28">
        <v>5.0773557399999998</v>
      </c>
      <c r="M69" s="28">
        <v>101.556352</v>
      </c>
      <c r="N69" s="28">
        <v>54.578494200000002</v>
      </c>
      <c r="O69" s="28">
        <v>1015.47115</v>
      </c>
      <c r="P69" s="28">
        <v>984.52885300000003</v>
      </c>
    </row>
    <row r="70" spans="1:16" x14ac:dyDescent="0.25">
      <c r="A70" s="39">
        <v>0</v>
      </c>
      <c r="B70" s="39">
        <v>68</v>
      </c>
      <c r="C70" s="28">
        <v>13.029623000000001</v>
      </c>
      <c r="D70" s="28">
        <v>5.9712638699999996</v>
      </c>
      <c r="E70" s="28">
        <v>27.924185099999999</v>
      </c>
      <c r="F70" s="28">
        <v>21.7786914</v>
      </c>
      <c r="G70" s="28">
        <v>18.361557699999999</v>
      </c>
      <c r="H70" s="28">
        <v>49.056951699999999</v>
      </c>
      <c r="I70" s="28">
        <v>36.410608099999997</v>
      </c>
      <c r="J70" s="28">
        <v>968.70425599999999</v>
      </c>
      <c r="K70" s="28">
        <v>974.31479000000002</v>
      </c>
      <c r="L70" s="28">
        <v>5.1285914200000002</v>
      </c>
      <c r="M70" s="28">
        <v>101.303996</v>
      </c>
      <c r="N70" s="28">
        <v>54.254661599999999</v>
      </c>
      <c r="O70" s="28">
        <v>1025.71828</v>
      </c>
      <c r="P70" s="28">
        <v>974.28171599999996</v>
      </c>
    </row>
    <row r="71" spans="1:16" x14ac:dyDescent="0.25">
      <c r="A71" s="39">
        <v>0</v>
      </c>
      <c r="B71" s="39">
        <v>69</v>
      </c>
      <c r="C71" s="28">
        <v>12.9408852</v>
      </c>
      <c r="D71" s="28">
        <v>5.9724236299999998</v>
      </c>
      <c r="E71" s="28">
        <v>27.6539322</v>
      </c>
      <c r="F71" s="28">
        <v>21.764794899999998</v>
      </c>
      <c r="G71" s="28">
        <v>18.2916104</v>
      </c>
      <c r="H71" s="28">
        <v>49.9854226</v>
      </c>
      <c r="I71" s="28">
        <v>36.213507</v>
      </c>
      <c r="J71" s="28">
        <v>971.67575299999999</v>
      </c>
      <c r="K71" s="28">
        <v>978.411473</v>
      </c>
      <c r="L71" s="28">
        <v>5.2030067300000002</v>
      </c>
      <c r="M71" s="28">
        <v>100.89779799999999</v>
      </c>
      <c r="N71" s="28">
        <v>53.986662899999999</v>
      </c>
      <c r="O71" s="28">
        <v>1040.6013499999999</v>
      </c>
      <c r="P71" s="28">
        <v>959.39865299999997</v>
      </c>
    </row>
    <row r="72" spans="1:16" x14ac:dyDescent="0.25">
      <c r="A72" s="39">
        <v>0</v>
      </c>
      <c r="B72" s="39">
        <v>70</v>
      </c>
      <c r="C72" s="28">
        <v>12.8936001</v>
      </c>
      <c r="D72" s="28">
        <v>5.9375848199999997</v>
      </c>
      <c r="E72" s="28">
        <v>27.793975400000001</v>
      </c>
      <c r="F72" s="28">
        <v>21.8458474</v>
      </c>
      <c r="G72" s="28">
        <v>18.482644700000002</v>
      </c>
      <c r="H72" s="28">
        <v>50.009386300000003</v>
      </c>
      <c r="I72" s="28">
        <v>36.254670699999998</v>
      </c>
      <c r="J72" s="28">
        <v>968.85459600000002</v>
      </c>
      <c r="K72" s="28">
        <v>978.01424099999997</v>
      </c>
      <c r="L72" s="28">
        <v>5.1690188800000003</v>
      </c>
      <c r="M72" s="28">
        <v>100.712847</v>
      </c>
      <c r="N72" s="28">
        <v>53.217715800000001</v>
      </c>
      <c r="O72" s="28">
        <v>1033.80378</v>
      </c>
      <c r="P72" s="28">
        <v>966.19622500000003</v>
      </c>
    </row>
    <row r="73" spans="1:16" x14ac:dyDescent="0.25">
      <c r="A73" s="39">
        <v>0</v>
      </c>
      <c r="B73" s="39">
        <v>71</v>
      </c>
      <c r="C73" s="28">
        <v>12.8843031</v>
      </c>
      <c r="D73" s="28">
        <v>5.9356150400000001</v>
      </c>
      <c r="E73" s="28">
        <v>27.652339999999999</v>
      </c>
      <c r="F73" s="28">
        <v>21.808696000000001</v>
      </c>
      <c r="G73" s="28">
        <v>18.392844700000001</v>
      </c>
      <c r="H73" s="28">
        <v>49.056181799999997</v>
      </c>
      <c r="I73" s="28">
        <v>35.921030700000003</v>
      </c>
      <c r="J73" s="28">
        <v>972.59598900000003</v>
      </c>
      <c r="K73" s="28">
        <v>980.11011800000006</v>
      </c>
      <c r="L73" s="28">
        <v>5.1612141400000002</v>
      </c>
      <c r="M73" s="28">
        <v>100.103157</v>
      </c>
      <c r="N73" s="28">
        <v>52.440362999999998</v>
      </c>
      <c r="O73" s="28">
        <v>1032.2428299999999</v>
      </c>
      <c r="P73" s="28">
        <v>967.75717299999997</v>
      </c>
    </row>
    <row r="74" spans="1:16" x14ac:dyDescent="0.25">
      <c r="A74" s="39">
        <v>0</v>
      </c>
      <c r="B74" s="39">
        <v>72</v>
      </c>
      <c r="C74" s="28">
        <v>12.9252188</v>
      </c>
      <c r="D74" s="28">
        <v>5.9406197699999996</v>
      </c>
      <c r="E74" s="28">
        <v>27.635570399999999</v>
      </c>
      <c r="F74" s="28">
        <v>21.7144239</v>
      </c>
      <c r="G74" s="28">
        <v>18.306306500000002</v>
      </c>
      <c r="H74" s="28">
        <v>49.674278100000002</v>
      </c>
      <c r="I74" s="28">
        <v>35.990919900000002</v>
      </c>
      <c r="J74" s="28">
        <v>969.407644</v>
      </c>
      <c r="K74" s="28">
        <v>982.56922999999995</v>
      </c>
      <c r="L74" s="28">
        <v>5.1805949099999999</v>
      </c>
      <c r="M74" s="28">
        <v>100.152404</v>
      </c>
      <c r="N74" s="28">
        <v>52.385556200000003</v>
      </c>
      <c r="O74" s="28">
        <v>1036.11898</v>
      </c>
      <c r="P74" s="28">
        <v>963.88101700000004</v>
      </c>
    </row>
    <row r="75" spans="1:16" x14ac:dyDescent="0.25">
      <c r="A75" s="39">
        <v>0</v>
      </c>
      <c r="B75" s="39">
        <v>73</v>
      </c>
      <c r="C75" s="28">
        <v>12.8864064</v>
      </c>
      <c r="D75" s="28">
        <v>5.9308063000000004</v>
      </c>
      <c r="E75" s="28">
        <v>27.5194139</v>
      </c>
      <c r="F75" s="28">
        <v>21.659275600000001</v>
      </c>
      <c r="G75" s="28">
        <v>18.4940365</v>
      </c>
      <c r="H75" s="28">
        <v>49.052784000000003</v>
      </c>
      <c r="I75" s="28">
        <v>36.078642000000002</v>
      </c>
      <c r="J75" s="28">
        <v>972.76769200000001</v>
      </c>
      <c r="K75" s="28">
        <v>990.23220000000003</v>
      </c>
      <c r="L75" s="28">
        <v>5.1659780299999998</v>
      </c>
      <c r="M75" s="28">
        <v>100.638892</v>
      </c>
      <c r="N75" s="28">
        <v>52.625109100000003</v>
      </c>
      <c r="O75" s="28">
        <v>1033.19561</v>
      </c>
      <c r="P75" s="28">
        <v>966.804393</v>
      </c>
    </row>
    <row r="76" spans="1:16" x14ac:dyDescent="0.25">
      <c r="A76" s="39">
        <v>0</v>
      </c>
      <c r="B76" s="39">
        <v>74</v>
      </c>
      <c r="C76" s="28">
        <v>12.8535319</v>
      </c>
      <c r="D76" s="28">
        <v>5.9162743100000004</v>
      </c>
      <c r="E76" s="28">
        <v>27.509695700000002</v>
      </c>
      <c r="F76" s="28">
        <v>21.607759399999999</v>
      </c>
      <c r="G76" s="28">
        <v>18.610292399999999</v>
      </c>
      <c r="H76" s="28">
        <v>48.706362499999997</v>
      </c>
      <c r="I76" s="28">
        <v>36.497565799999997</v>
      </c>
      <c r="J76" s="28">
        <v>970.07920999999999</v>
      </c>
      <c r="K76" s="28">
        <v>981.09572100000003</v>
      </c>
      <c r="L76" s="28">
        <v>5.2134524899999999</v>
      </c>
      <c r="M76" s="28">
        <v>100.454713</v>
      </c>
      <c r="N76" s="28">
        <v>53.121053600000003</v>
      </c>
      <c r="O76" s="28">
        <v>1042.6904999999999</v>
      </c>
      <c r="P76" s="28">
        <v>957.30950299999995</v>
      </c>
    </row>
    <row r="77" spans="1:16" x14ac:dyDescent="0.25">
      <c r="A77" s="39">
        <v>0</v>
      </c>
      <c r="B77" s="39">
        <v>75</v>
      </c>
      <c r="C77" s="28">
        <v>12.895383600000001</v>
      </c>
      <c r="D77" s="28">
        <v>5.9010928900000001</v>
      </c>
      <c r="E77" s="28">
        <v>27.438286900000001</v>
      </c>
      <c r="F77" s="28">
        <v>21.588851300000002</v>
      </c>
      <c r="G77" s="28">
        <v>18.4416841</v>
      </c>
      <c r="H77" s="28">
        <v>48.5946237</v>
      </c>
      <c r="I77" s="28">
        <v>36.820572499999997</v>
      </c>
      <c r="J77" s="28">
        <v>973.10785599999997</v>
      </c>
      <c r="K77" s="28">
        <v>979.32795299999998</v>
      </c>
      <c r="L77" s="28">
        <v>5.2002318799999996</v>
      </c>
      <c r="M77" s="28">
        <v>100.511202</v>
      </c>
      <c r="N77" s="28">
        <v>52.513931800000002</v>
      </c>
      <c r="O77" s="28">
        <v>1040.04638</v>
      </c>
      <c r="P77" s="28">
        <v>959.95362499999999</v>
      </c>
    </row>
    <row r="78" spans="1:16" x14ac:dyDescent="0.25">
      <c r="A78" s="39">
        <v>0</v>
      </c>
      <c r="B78" s="39">
        <v>76</v>
      </c>
      <c r="C78" s="28">
        <v>12.922527199999999</v>
      </c>
      <c r="D78" s="28">
        <v>5.9171526999999999</v>
      </c>
      <c r="E78" s="28">
        <v>27.318633200000001</v>
      </c>
      <c r="F78" s="28">
        <v>21.5990626</v>
      </c>
      <c r="G78" s="28">
        <v>18.5742023</v>
      </c>
      <c r="H78" s="28">
        <v>49.056212100000003</v>
      </c>
      <c r="I78" s="28">
        <v>36.999265399999999</v>
      </c>
      <c r="J78" s="28">
        <v>969.72661800000003</v>
      </c>
      <c r="K78" s="28">
        <v>978.32911300000001</v>
      </c>
      <c r="L78" s="28">
        <v>5.2137556700000003</v>
      </c>
      <c r="M78" s="28">
        <v>101.026251</v>
      </c>
      <c r="N78" s="28">
        <v>52.354177499999999</v>
      </c>
      <c r="O78" s="28">
        <v>1042.7511300000001</v>
      </c>
      <c r="P78" s="28">
        <v>957.24886600000002</v>
      </c>
    </row>
    <row r="79" spans="1:16" x14ac:dyDescent="0.25">
      <c r="A79" s="39">
        <v>0</v>
      </c>
      <c r="B79" s="39">
        <v>77</v>
      </c>
      <c r="C79" s="28">
        <v>12.9047205</v>
      </c>
      <c r="D79" s="28">
        <v>5.9302350600000002</v>
      </c>
      <c r="E79" s="28">
        <v>27.039726699999999</v>
      </c>
      <c r="F79" s="28">
        <v>21.4335728</v>
      </c>
      <c r="G79" s="28">
        <v>18.550109500000001</v>
      </c>
      <c r="H79" s="28">
        <v>49.868244900000001</v>
      </c>
      <c r="I79" s="28">
        <v>37.139377400000001</v>
      </c>
      <c r="J79" s="28">
        <v>972.2672</v>
      </c>
      <c r="K79" s="28">
        <v>975.49891600000001</v>
      </c>
      <c r="L79" s="28">
        <v>5.2417935199999999</v>
      </c>
      <c r="M79" s="28">
        <v>101.24057999999999</v>
      </c>
      <c r="N79" s="28">
        <v>52.473423599999997</v>
      </c>
      <c r="O79" s="28">
        <v>1048.3587</v>
      </c>
      <c r="P79" s="28">
        <v>951.64129600000001</v>
      </c>
    </row>
    <row r="80" spans="1:16" x14ac:dyDescent="0.25">
      <c r="A80" s="39">
        <v>0</v>
      </c>
      <c r="B80" s="39">
        <v>78</v>
      </c>
      <c r="C80" s="28">
        <v>12.824539700000001</v>
      </c>
      <c r="D80" s="28">
        <v>5.9660558200000002</v>
      </c>
      <c r="E80" s="28">
        <v>27.063651100000001</v>
      </c>
      <c r="F80" s="28">
        <v>21.228391800000001</v>
      </c>
      <c r="G80" s="28">
        <v>18.4294142</v>
      </c>
      <c r="H80" s="28">
        <v>50.0031204</v>
      </c>
      <c r="I80" s="28">
        <v>36.836478999999997</v>
      </c>
      <c r="J80" s="28">
        <v>969.43444099999999</v>
      </c>
      <c r="K80" s="28">
        <v>974.82723199999998</v>
      </c>
      <c r="L80" s="28">
        <v>5.1870357499999997</v>
      </c>
      <c r="M80" s="28">
        <v>100.668109</v>
      </c>
      <c r="N80" s="28">
        <v>52.302281399999998</v>
      </c>
      <c r="O80" s="28">
        <v>1037.40715</v>
      </c>
      <c r="P80" s="28">
        <v>962.592849</v>
      </c>
    </row>
    <row r="81" spans="1:16" x14ac:dyDescent="0.25">
      <c r="A81" s="39">
        <v>0</v>
      </c>
      <c r="B81" s="39">
        <v>79</v>
      </c>
      <c r="C81" s="28">
        <v>12.7342795</v>
      </c>
      <c r="D81" s="28">
        <v>5.9016526899999997</v>
      </c>
      <c r="E81" s="28">
        <v>26.8005028</v>
      </c>
      <c r="F81" s="28">
        <v>21.0941467</v>
      </c>
      <c r="G81" s="28">
        <v>18.484367599999999</v>
      </c>
      <c r="H81" s="28">
        <v>49.730847099999998</v>
      </c>
      <c r="I81" s="28">
        <v>37.291976099999999</v>
      </c>
      <c r="J81" s="28">
        <v>973.23053400000003</v>
      </c>
      <c r="K81" s="28">
        <v>973.56873700000006</v>
      </c>
      <c r="L81" s="28">
        <v>5.1893061600000001</v>
      </c>
      <c r="M81" s="28">
        <v>100.07934899999999</v>
      </c>
      <c r="N81" s="28">
        <v>51.847974899999997</v>
      </c>
      <c r="O81" s="28">
        <v>1037.86123</v>
      </c>
      <c r="P81" s="28">
        <v>962.13876700000003</v>
      </c>
    </row>
    <row r="82" spans="1:16" x14ac:dyDescent="0.25">
      <c r="A82" s="39">
        <v>0</v>
      </c>
      <c r="B82" s="39">
        <v>80</v>
      </c>
      <c r="C82" s="28">
        <v>12.651573900000001</v>
      </c>
      <c r="D82" s="28">
        <v>5.9089917300000003</v>
      </c>
      <c r="E82" s="28">
        <v>26.966675200000001</v>
      </c>
      <c r="F82" s="28">
        <v>21.089144300000001</v>
      </c>
      <c r="G82" s="28">
        <v>18.555341500000001</v>
      </c>
      <c r="H82" s="28">
        <v>49.772222499999998</v>
      </c>
      <c r="I82" s="28">
        <v>37.730820199999997</v>
      </c>
      <c r="J82" s="28">
        <v>970.15878499999997</v>
      </c>
      <c r="K82" s="28">
        <v>973.99640199999999</v>
      </c>
      <c r="L82" s="28">
        <v>5.2375556400000001</v>
      </c>
      <c r="M82" s="28">
        <v>100.7214</v>
      </c>
      <c r="N82" s="28">
        <v>51.715284099999998</v>
      </c>
      <c r="O82" s="28">
        <v>1047.5111300000001</v>
      </c>
      <c r="P82" s="28">
        <v>952.48887300000001</v>
      </c>
    </row>
    <row r="83" spans="1:16" x14ac:dyDescent="0.25">
      <c r="A83" s="39">
        <v>0</v>
      </c>
      <c r="B83" s="39">
        <v>81</v>
      </c>
      <c r="C83" s="28">
        <v>12.660242</v>
      </c>
      <c r="D83" s="28">
        <v>5.8874368600000002</v>
      </c>
      <c r="E83" s="28">
        <v>26.923009499999999</v>
      </c>
      <c r="F83" s="28">
        <v>21.332919499999999</v>
      </c>
      <c r="G83" s="28">
        <v>18.670957399999999</v>
      </c>
      <c r="H83" s="28">
        <v>50.058733199999999</v>
      </c>
      <c r="I83" s="28">
        <v>38.117593800000002</v>
      </c>
      <c r="J83" s="28">
        <v>972.44797000000005</v>
      </c>
      <c r="K83" s="28">
        <v>979.61240299999997</v>
      </c>
      <c r="L83" s="28">
        <v>5.2279199800000002</v>
      </c>
      <c r="M83" s="28">
        <v>100.934991</v>
      </c>
      <c r="N83" s="28">
        <v>52.020873700000003</v>
      </c>
      <c r="O83" s="28">
        <v>1045.5840000000001</v>
      </c>
      <c r="P83" s="28">
        <v>954.41600400000004</v>
      </c>
    </row>
    <row r="84" spans="1:16" x14ac:dyDescent="0.25">
      <c r="A84" s="39">
        <v>0</v>
      </c>
      <c r="B84" s="39">
        <v>82</v>
      </c>
      <c r="C84" s="28">
        <v>12.757063499999999</v>
      </c>
      <c r="D84" s="28">
        <v>5.8581759499999997</v>
      </c>
      <c r="E84" s="28">
        <v>26.828812800000001</v>
      </c>
      <c r="F84" s="28">
        <v>21.0878701</v>
      </c>
      <c r="G84" s="28">
        <v>18.682794900000001</v>
      </c>
      <c r="H84" s="28">
        <v>49.866686999999999</v>
      </c>
      <c r="I84" s="28">
        <v>38.032445600000003</v>
      </c>
      <c r="J84" s="28">
        <v>970.44995300000005</v>
      </c>
      <c r="K84" s="28">
        <v>979.69196999999997</v>
      </c>
      <c r="L84" s="28">
        <v>5.2354676299999996</v>
      </c>
      <c r="M84" s="28">
        <v>101.463179</v>
      </c>
      <c r="N84" s="28">
        <v>51.915465599999997</v>
      </c>
      <c r="O84" s="28">
        <v>1047.0935300000001</v>
      </c>
      <c r="P84" s="28">
        <v>952.906474</v>
      </c>
    </row>
    <row r="85" spans="1:16" x14ac:dyDescent="0.25">
      <c r="A85" s="39">
        <v>0</v>
      </c>
      <c r="B85" s="39">
        <v>83</v>
      </c>
      <c r="C85" s="28">
        <v>12.8525869</v>
      </c>
      <c r="D85" s="28">
        <v>5.9083731799999999</v>
      </c>
      <c r="E85" s="28">
        <v>26.726671199999998</v>
      </c>
      <c r="F85" s="28">
        <v>21.095065300000002</v>
      </c>
      <c r="G85" s="28">
        <v>18.6002656</v>
      </c>
      <c r="H85" s="28">
        <v>49.594565099999997</v>
      </c>
      <c r="I85" s="28">
        <v>38.173003600000001</v>
      </c>
      <c r="J85" s="28">
        <v>972.52500799999996</v>
      </c>
      <c r="K85" s="28">
        <v>984.30232899999999</v>
      </c>
      <c r="L85" s="28">
        <v>5.2689883200000001</v>
      </c>
      <c r="M85" s="28">
        <v>101.763069</v>
      </c>
      <c r="N85" s="28">
        <v>52.770921399999999</v>
      </c>
      <c r="O85" s="28">
        <v>1053.79766</v>
      </c>
      <c r="P85" s="28">
        <v>946.20233499999995</v>
      </c>
    </row>
    <row r="86" spans="1:16" x14ac:dyDescent="0.25">
      <c r="A86" s="39">
        <v>0</v>
      </c>
      <c r="B86" s="39">
        <v>84</v>
      </c>
      <c r="C86" s="28">
        <v>12.8684745</v>
      </c>
      <c r="D86" s="28">
        <v>5.9342975300000003</v>
      </c>
      <c r="E86" s="28">
        <v>26.8223591</v>
      </c>
      <c r="F86" s="28">
        <v>21.016371599999999</v>
      </c>
      <c r="G86" s="28">
        <v>18.622798899999999</v>
      </c>
      <c r="H86" s="28">
        <v>49.775709399999997</v>
      </c>
      <c r="I86" s="28">
        <v>38.8834619</v>
      </c>
      <c r="J86" s="28">
        <v>969.20533399999999</v>
      </c>
      <c r="K86" s="28">
        <v>985.197001</v>
      </c>
      <c r="L86" s="28">
        <v>5.1660235999999999</v>
      </c>
      <c r="M86" s="28">
        <v>102.261528</v>
      </c>
      <c r="N86" s="28">
        <v>53.250634599999998</v>
      </c>
      <c r="O86" s="28">
        <v>1033.20472</v>
      </c>
      <c r="P86" s="28">
        <v>966.79528100000005</v>
      </c>
    </row>
    <row r="87" spans="1:16" x14ac:dyDescent="0.25">
      <c r="A87" s="39">
        <v>0</v>
      </c>
      <c r="B87" s="39">
        <v>85</v>
      </c>
      <c r="C87" s="28">
        <v>12.706513599999999</v>
      </c>
      <c r="D87" s="28">
        <v>5.9249466799999997</v>
      </c>
      <c r="E87" s="28">
        <v>26.893492500000001</v>
      </c>
      <c r="F87" s="28">
        <v>21.193267500000001</v>
      </c>
      <c r="G87" s="28">
        <v>18.629700700000001</v>
      </c>
      <c r="H87" s="28">
        <v>49.3988619</v>
      </c>
      <c r="I87" s="28">
        <v>38.668455899999998</v>
      </c>
      <c r="J87" s="28">
        <v>971.94479899999999</v>
      </c>
      <c r="K87" s="28">
        <v>988.64856699999996</v>
      </c>
      <c r="L87" s="28">
        <v>5.1457136500000002</v>
      </c>
      <c r="M87" s="28">
        <v>102.03661</v>
      </c>
      <c r="N87" s="28">
        <v>53.692583800000001</v>
      </c>
      <c r="O87" s="28">
        <v>1029.14273</v>
      </c>
      <c r="P87" s="28">
        <v>970.85726999999997</v>
      </c>
    </row>
    <row r="88" spans="1:16" x14ac:dyDescent="0.25">
      <c r="A88" s="39">
        <v>0</v>
      </c>
      <c r="B88" s="39">
        <v>86</v>
      </c>
      <c r="C88" s="28">
        <v>12.761954899999999</v>
      </c>
      <c r="D88" s="28">
        <v>5.9326816200000003</v>
      </c>
      <c r="E88" s="28">
        <v>26.995630999999999</v>
      </c>
      <c r="F88" s="28">
        <v>21.2746496</v>
      </c>
      <c r="G88" s="28">
        <v>18.700007500000002</v>
      </c>
      <c r="H88" s="28">
        <v>49.738388399999998</v>
      </c>
      <c r="I88" s="28">
        <v>39.105605199999999</v>
      </c>
      <c r="J88" s="28">
        <v>968.61062500000003</v>
      </c>
      <c r="K88" s="28">
        <v>986.14065500000004</v>
      </c>
      <c r="L88" s="28">
        <v>5.1820376399999999</v>
      </c>
      <c r="M88" s="28">
        <v>102.334219</v>
      </c>
      <c r="N88" s="28">
        <v>53.804459999999999</v>
      </c>
      <c r="O88" s="28">
        <v>1036.40753</v>
      </c>
      <c r="P88" s="28">
        <v>963.59247300000004</v>
      </c>
    </row>
    <row r="89" spans="1:16" x14ac:dyDescent="0.25">
      <c r="A89" s="39">
        <v>0</v>
      </c>
      <c r="B89" s="39">
        <v>87</v>
      </c>
      <c r="C89" s="28">
        <v>12.7624911</v>
      </c>
      <c r="D89" s="28">
        <v>5.9094759899999998</v>
      </c>
      <c r="E89" s="28">
        <v>26.797290100000001</v>
      </c>
      <c r="F89" s="28">
        <v>21.094151100000001</v>
      </c>
      <c r="G89" s="28">
        <v>18.843033800000001</v>
      </c>
      <c r="H89" s="28">
        <v>49.425704099999997</v>
      </c>
      <c r="I89" s="28">
        <v>39.745617799999998</v>
      </c>
      <c r="J89" s="28">
        <v>971.70221900000001</v>
      </c>
      <c r="K89" s="28">
        <v>987.41288599999996</v>
      </c>
      <c r="L89" s="28">
        <v>5.2231897099999998</v>
      </c>
      <c r="M89" s="28">
        <v>102.46348399999999</v>
      </c>
      <c r="N89" s="28">
        <v>54.7810615</v>
      </c>
      <c r="O89" s="28">
        <v>1044.6379400000001</v>
      </c>
      <c r="P89" s="28">
        <v>955.36205900000004</v>
      </c>
    </row>
    <row r="90" spans="1:16" x14ac:dyDescent="0.25">
      <c r="A90" s="39">
        <v>0</v>
      </c>
      <c r="B90" s="39">
        <v>88</v>
      </c>
      <c r="C90" s="28">
        <v>12.6598542</v>
      </c>
      <c r="D90" s="28">
        <v>5.9131565999999998</v>
      </c>
      <c r="E90" s="28">
        <v>26.678923300000001</v>
      </c>
      <c r="F90" s="28">
        <v>21.011059700000001</v>
      </c>
      <c r="G90" s="28">
        <v>18.800425000000001</v>
      </c>
      <c r="H90" s="28">
        <v>49.6521501</v>
      </c>
      <c r="I90" s="28">
        <v>39.7951786</v>
      </c>
      <c r="J90" s="28">
        <v>969.038545</v>
      </c>
      <c r="K90" s="28">
        <v>988.45591100000001</v>
      </c>
      <c r="L90" s="28">
        <v>5.2453130400000001</v>
      </c>
      <c r="M90" s="28">
        <v>102.333298</v>
      </c>
      <c r="N90" s="28">
        <v>54.949438399999998</v>
      </c>
      <c r="O90" s="28">
        <v>1049.0626099999999</v>
      </c>
      <c r="P90" s="28">
        <v>950.93739200000005</v>
      </c>
    </row>
    <row r="91" spans="1:16" x14ac:dyDescent="0.25">
      <c r="A91" s="39">
        <v>0</v>
      </c>
      <c r="B91" s="39">
        <v>89</v>
      </c>
      <c r="C91" s="28">
        <v>12.625574200000001</v>
      </c>
      <c r="D91" s="28">
        <v>5.9464448499999998</v>
      </c>
      <c r="E91" s="28">
        <v>26.467385199999999</v>
      </c>
      <c r="F91" s="28">
        <v>20.833620799999998</v>
      </c>
      <c r="G91" s="28">
        <v>19.022236599999999</v>
      </c>
      <c r="H91" s="28">
        <v>49.400030200000003</v>
      </c>
      <c r="I91" s="28">
        <v>39.387422299999997</v>
      </c>
      <c r="J91" s="28">
        <v>971.70221300000003</v>
      </c>
      <c r="K91" s="28">
        <v>988.97471499999995</v>
      </c>
      <c r="L91" s="28">
        <v>5.2745658400000002</v>
      </c>
      <c r="M91" s="28">
        <v>101.870142</v>
      </c>
      <c r="N91" s="28">
        <v>55.033665499999998</v>
      </c>
      <c r="O91" s="28">
        <v>1054.91317</v>
      </c>
      <c r="P91" s="28">
        <v>945.08683199999996</v>
      </c>
    </row>
    <row r="92" spans="1:16" x14ac:dyDescent="0.25">
      <c r="A92" s="39">
        <v>0</v>
      </c>
      <c r="B92" s="39">
        <v>90</v>
      </c>
      <c r="C92" s="28">
        <v>12.6494351</v>
      </c>
      <c r="D92" s="28">
        <v>5.9378797900000002</v>
      </c>
      <c r="E92" s="28">
        <v>26.527543900000001</v>
      </c>
      <c r="F92" s="28">
        <v>20.744326699999998</v>
      </c>
      <c r="G92" s="28">
        <v>18.875919799999998</v>
      </c>
      <c r="H92" s="28">
        <v>49.378881999999997</v>
      </c>
      <c r="I92" s="28">
        <v>39.465661900000001</v>
      </c>
      <c r="J92" s="28">
        <v>969.27405899999997</v>
      </c>
      <c r="K92" s="28">
        <v>993.07912299999998</v>
      </c>
      <c r="L92" s="28">
        <v>5.2781583000000003</v>
      </c>
      <c r="M92" s="28">
        <v>101.46332099999999</v>
      </c>
      <c r="N92" s="28">
        <v>55.281093300000002</v>
      </c>
      <c r="O92" s="28">
        <v>1055.63166</v>
      </c>
      <c r="P92" s="28">
        <v>944.36833999999999</v>
      </c>
    </row>
    <row r="93" spans="1:16" x14ac:dyDescent="0.25">
      <c r="A93" s="39">
        <v>0</v>
      </c>
      <c r="B93" s="39">
        <v>91</v>
      </c>
      <c r="C93" s="28">
        <v>12.7085115</v>
      </c>
      <c r="D93" s="28">
        <v>5.9827566000000001</v>
      </c>
      <c r="E93" s="28">
        <v>26.3509587</v>
      </c>
      <c r="F93" s="28">
        <v>20.648811299999998</v>
      </c>
      <c r="G93" s="28">
        <v>18.910303800000001</v>
      </c>
      <c r="H93" s="28">
        <v>48.9629592</v>
      </c>
      <c r="I93" s="28">
        <v>39.0342032</v>
      </c>
      <c r="J93" s="28">
        <v>971.66354899999999</v>
      </c>
      <c r="K93" s="28">
        <v>994.65680199999997</v>
      </c>
      <c r="L93" s="28">
        <v>5.2832963299999998</v>
      </c>
      <c r="M93" s="28">
        <v>101.21124500000001</v>
      </c>
      <c r="N93" s="28">
        <v>55.815985400000002</v>
      </c>
      <c r="O93" s="28">
        <v>1056.6592700000001</v>
      </c>
      <c r="P93" s="28">
        <v>943.340733</v>
      </c>
    </row>
    <row r="94" spans="1:16" x14ac:dyDescent="0.25">
      <c r="A94" s="39">
        <v>0</v>
      </c>
      <c r="B94" s="39">
        <v>92</v>
      </c>
      <c r="C94" s="28">
        <v>12.742139999999999</v>
      </c>
      <c r="D94" s="28">
        <v>5.9568699199999999</v>
      </c>
      <c r="E94" s="28">
        <v>26.451357399999999</v>
      </c>
      <c r="F94" s="28">
        <v>20.517872100000002</v>
      </c>
      <c r="G94" s="28">
        <v>18.8304832</v>
      </c>
      <c r="H94" s="28">
        <v>49.666163400000002</v>
      </c>
      <c r="I94" s="28">
        <v>38.530719400000002</v>
      </c>
      <c r="J94" s="28">
        <v>969.39074000000005</v>
      </c>
      <c r="K94" s="28">
        <v>990.994417</v>
      </c>
      <c r="L94" s="28">
        <v>5.3124388700000003</v>
      </c>
      <c r="M94" s="28">
        <v>101.53652099999999</v>
      </c>
      <c r="N94" s="28">
        <v>55.162193000000002</v>
      </c>
      <c r="O94" s="28">
        <v>1062.48777</v>
      </c>
      <c r="P94" s="28">
        <v>937.51222600000006</v>
      </c>
    </row>
    <row r="95" spans="1:16" x14ac:dyDescent="0.25">
      <c r="A95" s="39">
        <v>0</v>
      </c>
      <c r="B95" s="39">
        <v>93</v>
      </c>
      <c r="C95" s="28">
        <v>12.7050441</v>
      </c>
      <c r="D95" s="28">
        <v>5.9716660600000004</v>
      </c>
      <c r="E95" s="28">
        <v>26.4807548</v>
      </c>
      <c r="F95" s="28">
        <v>20.621693</v>
      </c>
      <c r="G95" s="28">
        <v>18.716882900000002</v>
      </c>
      <c r="H95" s="28">
        <v>49.935204599999999</v>
      </c>
      <c r="I95" s="28">
        <v>38.945589200000001</v>
      </c>
      <c r="J95" s="28">
        <v>971.34538199999997</v>
      </c>
      <c r="K95" s="28">
        <v>992.93004800000006</v>
      </c>
      <c r="L95" s="28">
        <v>5.3014673500000002</v>
      </c>
      <c r="M95" s="28">
        <v>102.131128</v>
      </c>
      <c r="N95" s="28">
        <v>54.556873400000001</v>
      </c>
      <c r="O95" s="28">
        <v>1060.2934700000001</v>
      </c>
      <c r="P95" s="28">
        <v>939.70653000000004</v>
      </c>
    </row>
    <row r="96" spans="1:16" x14ac:dyDescent="0.25">
      <c r="A96" s="39">
        <v>0</v>
      </c>
      <c r="B96" s="39">
        <v>94</v>
      </c>
      <c r="C96" s="28">
        <v>12.766548</v>
      </c>
      <c r="D96" s="28">
        <v>5.9226224099999998</v>
      </c>
      <c r="E96" s="28">
        <v>26.4207596</v>
      </c>
      <c r="F96" s="28">
        <v>20.511226000000001</v>
      </c>
      <c r="G96" s="28">
        <v>18.7553737</v>
      </c>
      <c r="H96" s="28">
        <v>49.859288499999998</v>
      </c>
      <c r="I96" s="28">
        <v>38.405645399999997</v>
      </c>
      <c r="J96" s="28">
        <v>969.64401599999997</v>
      </c>
      <c r="K96" s="28">
        <v>986.70868199999995</v>
      </c>
      <c r="L96" s="28">
        <v>5.3613486699999999</v>
      </c>
      <c r="M96" s="28">
        <v>101.387861</v>
      </c>
      <c r="N96" s="28">
        <v>54.072619199999998</v>
      </c>
      <c r="O96" s="28">
        <v>1072.26973</v>
      </c>
      <c r="P96" s="28">
        <v>927.73026600000003</v>
      </c>
    </row>
    <row r="97" spans="1:16" x14ac:dyDescent="0.25">
      <c r="A97" s="39">
        <v>0</v>
      </c>
      <c r="B97" s="39">
        <v>95</v>
      </c>
      <c r="C97" s="28">
        <v>12.7312654</v>
      </c>
      <c r="D97" s="28">
        <v>5.9505052100000002</v>
      </c>
      <c r="E97" s="28">
        <v>26.446434799999999</v>
      </c>
      <c r="F97" s="28">
        <v>20.675310700000001</v>
      </c>
      <c r="G97" s="28">
        <v>18.947755399999998</v>
      </c>
      <c r="H97" s="28">
        <v>50.156121599999999</v>
      </c>
      <c r="I97" s="28">
        <v>38.716676900000003</v>
      </c>
      <c r="J97" s="28">
        <v>971.24809400000004</v>
      </c>
      <c r="K97" s="28">
        <v>993.69900199999995</v>
      </c>
      <c r="L97" s="28">
        <v>5.3271119699999998</v>
      </c>
      <c r="M97" s="28">
        <v>101.427128</v>
      </c>
      <c r="N97" s="28">
        <v>54.462895799999998</v>
      </c>
      <c r="O97" s="28">
        <v>1065.42239</v>
      </c>
      <c r="P97" s="28">
        <v>934.57760599999995</v>
      </c>
    </row>
    <row r="98" spans="1:16" x14ac:dyDescent="0.25">
      <c r="A98" s="39">
        <v>0</v>
      </c>
      <c r="B98" s="39">
        <v>96</v>
      </c>
      <c r="C98" s="28">
        <v>12.711754300000001</v>
      </c>
      <c r="D98" s="28">
        <v>5.9734234099999997</v>
      </c>
      <c r="E98" s="28">
        <v>26.355186400000001</v>
      </c>
      <c r="F98" s="28">
        <v>20.7504624</v>
      </c>
      <c r="G98" s="28">
        <v>18.955986500000002</v>
      </c>
      <c r="H98" s="28">
        <v>49.991624100000003</v>
      </c>
      <c r="I98" s="28">
        <v>38.726274699999998</v>
      </c>
      <c r="J98" s="28">
        <v>968.28924300000006</v>
      </c>
      <c r="K98" s="28">
        <v>989.07142799999997</v>
      </c>
      <c r="L98" s="28">
        <v>5.2925645299999999</v>
      </c>
      <c r="M98" s="28">
        <v>101.279931</v>
      </c>
      <c r="N98" s="28">
        <v>55.165300199999997</v>
      </c>
      <c r="O98" s="28">
        <v>1058.5129099999999</v>
      </c>
      <c r="P98" s="28">
        <v>941.48709299999996</v>
      </c>
    </row>
    <row r="99" spans="1:16" x14ac:dyDescent="0.25">
      <c r="A99" s="39">
        <v>0</v>
      </c>
      <c r="B99" s="39">
        <v>97</v>
      </c>
      <c r="C99" s="28">
        <v>12.742507700000001</v>
      </c>
      <c r="D99" s="28">
        <v>5.9175366299999999</v>
      </c>
      <c r="E99" s="28">
        <v>26.296886199999999</v>
      </c>
      <c r="F99" s="28">
        <v>20.669735800000002</v>
      </c>
      <c r="G99" s="28">
        <v>18.963241499999999</v>
      </c>
      <c r="H99" s="28">
        <v>50.587710800000004</v>
      </c>
      <c r="I99" s="28">
        <v>38.763357399999997</v>
      </c>
      <c r="J99" s="28">
        <v>971.31586300000004</v>
      </c>
      <c r="K99" s="28">
        <v>987.54622300000005</v>
      </c>
      <c r="L99" s="28">
        <v>5.2161236200000003</v>
      </c>
      <c r="M99" s="28">
        <v>101.575864</v>
      </c>
      <c r="N99" s="28">
        <v>54.836144500000003</v>
      </c>
      <c r="O99" s="28">
        <v>1043.2247199999999</v>
      </c>
      <c r="P99" s="28">
        <v>956.77527599999996</v>
      </c>
    </row>
    <row r="100" spans="1:16" x14ac:dyDescent="0.25">
      <c r="A100" s="39">
        <v>0</v>
      </c>
      <c r="B100" s="39">
        <v>98</v>
      </c>
      <c r="C100" s="28">
        <v>12.653131200000001</v>
      </c>
      <c r="D100" s="28">
        <v>5.9369380100000004</v>
      </c>
      <c r="E100" s="28">
        <v>26.2963925</v>
      </c>
      <c r="F100" s="28">
        <v>20.607154399999999</v>
      </c>
      <c r="G100" s="28">
        <v>18.995911400000001</v>
      </c>
      <c r="H100" s="28">
        <v>50.5816053</v>
      </c>
      <c r="I100" s="28">
        <v>38.993277399999997</v>
      </c>
      <c r="J100" s="28">
        <v>968.62803799999995</v>
      </c>
      <c r="K100" s="28">
        <v>989.97816599999999</v>
      </c>
      <c r="L100" s="28">
        <v>5.2974188099999999</v>
      </c>
      <c r="M100" s="28">
        <v>101.289304</v>
      </c>
      <c r="N100" s="28">
        <v>55.508761499999999</v>
      </c>
      <c r="O100" s="28">
        <v>1059.4837600000001</v>
      </c>
      <c r="P100" s="28">
        <v>940.51623700000005</v>
      </c>
    </row>
    <row r="101" spans="1:16" x14ac:dyDescent="0.25">
      <c r="A101" s="39">
        <v>0</v>
      </c>
      <c r="B101" s="39">
        <v>99</v>
      </c>
      <c r="C101" s="28">
        <v>12.771513300000001</v>
      </c>
      <c r="D101" s="28">
        <v>5.9626835399999996</v>
      </c>
      <c r="E101" s="28">
        <v>26.474485600000001</v>
      </c>
      <c r="F101" s="28">
        <v>20.5352383</v>
      </c>
      <c r="G101" s="28">
        <v>18.7212523</v>
      </c>
      <c r="H101" s="28">
        <v>50.985544099999998</v>
      </c>
      <c r="I101" s="28">
        <v>39.283474099999999</v>
      </c>
      <c r="J101" s="28">
        <v>970.60061499999995</v>
      </c>
      <c r="K101" s="28">
        <v>993.30177500000002</v>
      </c>
      <c r="L101" s="28">
        <v>5.35964332</v>
      </c>
      <c r="M101" s="28">
        <v>101.144516</v>
      </c>
      <c r="N101" s="28">
        <v>55.673094399999997</v>
      </c>
      <c r="O101" s="28">
        <v>1071.92866</v>
      </c>
      <c r="P101" s="28">
        <v>928.07133499999998</v>
      </c>
    </row>
    <row r="102" spans="1:16" x14ac:dyDescent="0.25">
      <c r="A102" s="39">
        <v>0</v>
      </c>
      <c r="B102" s="39">
        <v>100</v>
      </c>
      <c r="C102" s="28">
        <v>12.8670654</v>
      </c>
      <c r="D102" s="28">
        <v>5.9545300900000004</v>
      </c>
      <c r="E102" s="28">
        <v>26.705247499999999</v>
      </c>
      <c r="F102" s="28">
        <v>20.418673099999999</v>
      </c>
      <c r="G102" s="28">
        <v>18.829245499999999</v>
      </c>
      <c r="H102" s="28">
        <v>51.059656400000001</v>
      </c>
      <c r="I102" s="28">
        <v>39.168131899999999</v>
      </c>
      <c r="J102" s="28">
        <v>968.32652299999995</v>
      </c>
      <c r="K102" s="28">
        <v>990.43626700000004</v>
      </c>
      <c r="L102" s="28">
        <v>5.3243114399999998</v>
      </c>
      <c r="M102" s="28">
        <v>101.01329</v>
      </c>
      <c r="N102" s="28">
        <v>55.374629300000002</v>
      </c>
      <c r="O102" s="28">
        <v>1064.86229</v>
      </c>
      <c r="P102" s="28">
        <v>935.13771199999996</v>
      </c>
    </row>
    <row r="103" spans="1:16" x14ac:dyDescent="0.25">
      <c r="A103" s="39">
        <v>0</v>
      </c>
      <c r="B103" s="39">
        <v>101</v>
      </c>
      <c r="C103" s="28">
        <v>12.854881900000001</v>
      </c>
      <c r="D103" s="28">
        <v>5.9672452500000004</v>
      </c>
      <c r="E103" s="28">
        <v>26.831160700000002</v>
      </c>
      <c r="F103" s="28">
        <v>20.3117065</v>
      </c>
      <c r="G103" s="28">
        <v>18.824071700000001</v>
      </c>
      <c r="H103" s="28">
        <v>50.590250699999999</v>
      </c>
      <c r="I103" s="28">
        <v>38.664828900000003</v>
      </c>
      <c r="J103" s="28">
        <v>971.10369900000001</v>
      </c>
      <c r="K103" s="28">
        <v>986.58588099999997</v>
      </c>
      <c r="L103" s="28">
        <v>5.3310917099999999</v>
      </c>
      <c r="M103" s="28">
        <v>100.812001</v>
      </c>
      <c r="N103" s="28">
        <v>55.6201054</v>
      </c>
      <c r="O103" s="28">
        <v>1066.2183399999999</v>
      </c>
      <c r="P103" s="28">
        <v>933.781657</v>
      </c>
    </row>
    <row r="104" spans="1:16" x14ac:dyDescent="0.25">
      <c r="A104" s="39">
        <v>0</v>
      </c>
      <c r="B104" s="39">
        <v>102</v>
      </c>
      <c r="C104" s="28">
        <v>12.739114900000001</v>
      </c>
      <c r="D104" s="28">
        <v>6.0110528399999996</v>
      </c>
      <c r="E104" s="28">
        <v>26.892835900000001</v>
      </c>
      <c r="F104" s="28">
        <v>20.4603687</v>
      </c>
      <c r="G104" s="28">
        <v>18.9656153</v>
      </c>
      <c r="H104" s="28">
        <v>51.114115200000001</v>
      </c>
      <c r="I104" s="28">
        <v>38.540001099999998</v>
      </c>
      <c r="J104" s="28">
        <v>967.84605599999998</v>
      </c>
      <c r="K104" s="28">
        <v>984.35955300000001</v>
      </c>
      <c r="L104" s="28">
        <v>5.3136687800000004</v>
      </c>
      <c r="M104" s="28">
        <v>100.835258</v>
      </c>
      <c r="N104" s="28">
        <v>55.2900165</v>
      </c>
      <c r="O104" s="28">
        <v>1062.7337600000001</v>
      </c>
      <c r="P104" s="28">
        <v>937.26624500000003</v>
      </c>
    </row>
    <row r="105" spans="1:16" x14ac:dyDescent="0.25">
      <c r="A105" s="39">
        <v>0</v>
      </c>
      <c r="B105" s="39">
        <v>103</v>
      </c>
      <c r="C105" s="28">
        <v>12.7949804</v>
      </c>
      <c r="D105" s="28">
        <v>5.9991807599999998</v>
      </c>
      <c r="E105" s="28">
        <v>26.960348499999998</v>
      </c>
      <c r="F105" s="28">
        <v>20.436852699999999</v>
      </c>
      <c r="G105" s="28">
        <v>19.083929699999999</v>
      </c>
      <c r="H105" s="28">
        <v>50.996810500000002</v>
      </c>
      <c r="I105" s="28">
        <v>38.568459300000001</v>
      </c>
      <c r="J105" s="28">
        <v>970.37631599999997</v>
      </c>
      <c r="K105" s="28">
        <v>989.24082799999996</v>
      </c>
      <c r="L105" s="28">
        <v>5.3049859699999997</v>
      </c>
      <c r="M105" s="28">
        <v>100.85169999999999</v>
      </c>
      <c r="N105" s="28">
        <v>55.239845799999998</v>
      </c>
      <c r="O105" s="28">
        <v>1060.99719</v>
      </c>
      <c r="P105" s="28">
        <v>939.00280699999996</v>
      </c>
    </row>
    <row r="106" spans="1:16" x14ac:dyDescent="0.25">
      <c r="A106" s="39">
        <v>0</v>
      </c>
      <c r="B106" s="39">
        <v>104</v>
      </c>
      <c r="C106" s="28">
        <v>12.8783311</v>
      </c>
      <c r="D106" s="28">
        <v>6.0017480499999998</v>
      </c>
      <c r="E106" s="28">
        <v>26.9541827</v>
      </c>
      <c r="F106" s="28">
        <v>20.5878941</v>
      </c>
      <c r="G106" s="28">
        <v>19.3202696</v>
      </c>
      <c r="H106" s="28">
        <v>51.374209100000002</v>
      </c>
      <c r="I106" s="28">
        <v>39.218173100000001</v>
      </c>
      <c r="J106" s="28">
        <v>967.33732399999997</v>
      </c>
      <c r="K106" s="28">
        <v>991.38487499999997</v>
      </c>
      <c r="L106" s="28">
        <v>5.3309169000000001</v>
      </c>
      <c r="M106" s="28">
        <v>101.299656</v>
      </c>
      <c r="N106" s="28">
        <v>55.522139500000002</v>
      </c>
      <c r="O106" s="28">
        <v>1066.1833799999999</v>
      </c>
      <c r="P106" s="28">
        <v>933.81661999999994</v>
      </c>
    </row>
    <row r="107" spans="1:16" x14ac:dyDescent="0.25">
      <c r="A107" s="39">
        <v>0</v>
      </c>
      <c r="B107" s="39">
        <v>105</v>
      </c>
      <c r="C107" s="28">
        <v>12.897083200000001</v>
      </c>
      <c r="D107" s="28">
        <v>5.9925614600000001</v>
      </c>
      <c r="E107" s="28">
        <v>27.316804000000001</v>
      </c>
      <c r="F107" s="28">
        <v>20.629765800000001</v>
      </c>
      <c r="G107" s="28">
        <v>19.229059100000001</v>
      </c>
      <c r="H107" s="28">
        <v>51.344705900000001</v>
      </c>
      <c r="I107" s="28">
        <v>39.177044500000001</v>
      </c>
      <c r="J107" s="28">
        <v>969.71979299999998</v>
      </c>
      <c r="K107" s="28">
        <v>990.67791399999999</v>
      </c>
      <c r="L107" s="28">
        <v>5.4198205899999996</v>
      </c>
      <c r="M107" s="28">
        <v>101.308752</v>
      </c>
      <c r="N107" s="28">
        <v>55.834381200000003</v>
      </c>
      <c r="O107" s="28">
        <v>1083.9641200000001</v>
      </c>
      <c r="P107" s="28">
        <v>916.03588200000002</v>
      </c>
    </row>
    <row r="108" spans="1:16" x14ac:dyDescent="0.25">
      <c r="A108" s="39">
        <v>0</v>
      </c>
      <c r="B108" s="39">
        <v>106</v>
      </c>
      <c r="C108" s="28">
        <v>13.062097700000001</v>
      </c>
      <c r="D108" s="28">
        <v>5.9987176599999996</v>
      </c>
      <c r="E108" s="28">
        <v>27.397221800000001</v>
      </c>
      <c r="F108" s="28">
        <v>20.71171</v>
      </c>
      <c r="G108" s="28">
        <v>19.308481</v>
      </c>
      <c r="H108" s="28">
        <v>51.3694147</v>
      </c>
      <c r="I108" s="28">
        <v>39.262155999999997</v>
      </c>
      <c r="J108" s="28">
        <v>967.15655700000002</v>
      </c>
      <c r="K108" s="28">
        <v>988.56445299999996</v>
      </c>
      <c r="L108" s="28">
        <v>5.44773072</v>
      </c>
      <c r="M108" s="28">
        <v>102.05567499999999</v>
      </c>
      <c r="N108" s="28">
        <v>56.055189800000001</v>
      </c>
      <c r="O108" s="28">
        <v>1089.5461399999999</v>
      </c>
      <c r="P108" s="28">
        <v>910.45385599999997</v>
      </c>
    </row>
    <row r="109" spans="1:16" x14ac:dyDescent="0.25">
      <c r="A109" s="39">
        <v>0</v>
      </c>
      <c r="B109" s="39">
        <v>107</v>
      </c>
      <c r="C109" s="28">
        <v>13.1572829</v>
      </c>
      <c r="D109" s="28">
        <v>6.0092808199999999</v>
      </c>
      <c r="E109" s="28">
        <v>27.240097200000001</v>
      </c>
      <c r="F109" s="28">
        <v>20.708651799999998</v>
      </c>
      <c r="G109" s="28">
        <v>19.510769700000001</v>
      </c>
      <c r="H109" s="28">
        <v>51.9757119</v>
      </c>
      <c r="I109" s="28">
        <v>39.296451099999999</v>
      </c>
      <c r="J109" s="28">
        <v>969.04493100000002</v>
      </c>
      <c r="K109" s="28">
        <v>988.15678800000001</v>
      </c>
      <c r="L109" s="28">
        <v>5.46493801</v>
      </c>
      <c r="M109" s="28">
        <v>102.715413</v>
      </c>
      <c r="N109" s="28">
        <v>54.853434200000002</v>
      </c>
      <c r="O109" s="28">
        <v>1092.9875999999999</v>
      </c>
      <c r="P109" s="28">
        <v>907.01239699999996</v>
      </c>
    </row>
    <row r="110" spans="1:16" x14ac:dyDescent="0.25">
      <c r="A110" s="39">
        <v>0</v>
      </c>
      <c r="B110" s="39">
        <v>108</v>
      </c>
      <c r="C110" s="28">
        <v>13.254470599999999</v>
      </c>
      <c r="D110" s="28">
        <v>6.0219071199999998</v>
      </c>
      <c r="E110" s="28">
        <v>27.147040100000002</v>
      </c>
      <c r="F110" s="28">
        <v>20.686276899999999</v>
      </c>
      <c r="G110" s="28">
        <v>19.382644500000001</v>
      </c>
      <c r="H110" s="28">
        <v>52.285227599999999</v>
      </c>
      <c r="I110" s="28">
        <v>39.8911248</v>
      </c>
      <c r="J110" s="28">
        <v>966.45492899999999</v>
      </c>
      <c r="K110" s="28">
        <v>986.35987399999999</v>
      </c>
      <c r="L110" s="28">
        <v>5.4675460899999999</v>
      </c>
      <c r="M110" s="28">
        <v>103.070903</v>
      </c>
      <c r="N110" s="28">
        <v>54.860124200000001</v>
      </c>
      <c r="O110" s="28">
        <v>1093.5092199999999</v>
      </c>
      <c r="P110" s="28">
        <v>906.49078099999997</v>
      </c>
    </row>
    <row r="111" spans="1:16" x14ac:dyDescent="0.25">
      <c r="A111" s="39">
        <v>0</v>
      </c>
      <c r="B111" s="39">
        <v>109</v>
      </c>
      <c r="C111" s="28">
        <v>13.090576</v>
      </c>
      <c r="D111" s="28">
        <v>5.9910398200000001</v>
      </c>
      <c r="E111" s="28">
        <v>27.383022700000001</v>
      </c>
      <c r="F111" s="28">
        <v>20.569956300000001</v>
      </c>
      <c r="G111" s="28">
        <v>19.2239003</v>
      </c>
      <c r="H111" s="28">
        <v>52.3585785</v>
      </c>
      <c r="I111" s="28">
        <v>39.679310999999998</v>
      </c>
      <c r="J111" s="28">
        <v>969.50057100000004</v>
      </c>
      <c r="K111" s="28">
        <v>983.36151800000005</v>
      </c>
      <c r="L111" s="28">
        <v>5.4971692399999998</v>
      </c>
      <c r="M111" s="28">
        <v>102.413376</v>
      </c>
      <c r="N111" s="28">
        <v>54.765380999999998</v>
      </c>
      <c r="O111" s="28">
        <v>1099.4338499999999</v>
      </c>
      <c r="P111" s="28">
        <v>900.56615199999999</v>
      </c>
    </row>
    <row r="112" spans="1:16" x14ac:dyDescent="0.25">
      <c r="A112" s="39">
        <v>0</v>
      </c>
      <c r="B112" s="39">
        <v>110</v>
      </c>
      <c r="C112" s="28">
        <v>13.078262799999999</v>
      </c>
      <c r="D112" s="28">
        <v>5.9667545400000002</v>
      </c>
      <c r="E112" s="28">
        <v>26.983777100000001</v>
      </c>
      <c r="F112" s="28">
        <v>20.3557636</v>
      </c>
      <c r="G112" s="28">
        <v>19.1846885</v>
      </c>
      <c r="H112" s="28">
        <v>52.426242000000002</v>
      </c>
      <c r="I112" s="28">
        <v>39.158743399999999</v>
      </c>
      <c r="J112" s="28">
        <v>968.219515</v>
      </c>
      <c r="K112" s="28">
        <v>981.28467499999999</v>
      </c>
      <c r="L112" s="28">
        <v>5.5489240000000004</v>
      </c>
      <c r="M112" s="28">
        <v>101.797805</v>
      </c>
      <c r="N112" s="28">
        <v>54.647390399999999</v>
      </c>
      <c r="O112" s="28">
        <v>1109.7847999999999</v>
      </c>
      <c r="P112" s="28">
        <v>890.21519999999998</v>
      </c>
    </row>
    <row r="113" spans="1:16" x14ac:dyDescent="0.25">
      <c r="A113" s="39">
        <v>0</v>
      </c>
      <c r="B113" s="39">
        <v>111</v>
      </c>
      <c r="C113" s="28">
        <v>13.111956899999999</v>
      </c>
      <c r="D113" s="28">
        <v>5.9411111099999996</v>
      </c>
      <c r="E113" s="28">
        <v>27.0048016</v>
      </c>
      <c r="F113" s="28">
        <v>20.4770112</v>
      </c>
      <c r="G113" s="28">
        <v>19.043448999999999</v>
      </c>
      <c r="H113" s="28">
        <v>52.148467400000001</v>
      </c>
      <c r="I113" s="28">
        <v>38.399881399999998</v>
      </c>
      <c r="J113" s="28">
        <v>970.94220800000005</v>
      </c>
      <c r="K113" s="28">
        <v>980.476225</v>
      </c>
      <c r="L113" s="28">
        <v>5.5173291899999999</v>
      </c>
      <c r="M113" s="28">
        <v>101.469193</v>
      </c>
      <c r="N113" s="28">
        <v>53.560725300000001</v>
      </c>
      <c r="O113" s="28">
        <v>1103.4658400000001</v>
      </c>
      <c r="P113" s="28">
        <v>896.53416200000004</v>
      </c>
    </row>
    <row r="114" spans="1:16" x14ac:dyDescent="0.25">
      <c r="A114" s="39">
        <v>0</v>
      </c>
      <c r="B114" s="39">
        <v>112</v>
      </c>
      <c r="C114" s="28">
        <v>13.1247059</v>
      </c>
      <c r="D114" s="28">
        <v>5.92268521</v>
      </c>
      <c r="E114" s="28">
        <v>26.786847399999999</v>
      </c>
      <c r="F114" s="28">
        <v>20.284811099999999</v>
      </c>
      <c r="G114" s="28">
        <v>19.2161729</v>
      </c>
      <c r="H114" s="28">
        <v>52.266978100000003</v>
      </c>
      <c r="I114" s="28">
        <v>38.560988999999999</v>
      </c>
      <c r="J114" s="28">
        <v>969.25294699999995</v>
      </c>
      <c r="K114" s="28">
        <v>978.62510899999995</v>
      </c>
      <c r="L114" s="28">
        <v>5.5099007899999997</v>
      </c>
      <c r="M114" s="28">
        <v>101.29136099999999</v>
      </c>
      <c r="N114" s="28">
        <v>53.437008499999997</v>
      </c>
      <c r="O114" s="28">
        <v>1101.9801600000001</v>
      </c>
      <c r="P114" s="28">
        <v>898.01984200000004</v>
      </c>
    </row>
    <row r="115" spans="1:16" x14ac:dyDescent="0.25">
      <c r="A115" s="39">
        <v>0</v>
      </c>
      <c r="B115" s="39">
        <v>113</v>
      </c>
      <c r="C115" s="28">
        <v>13.0834498</v>
      </c>
      <c r="D115" s="28">
        <v>5.9623294400000004</v>
      </c>
      <c r="E115" s="28">
        <v>27.055343199999999</v>
      </c>
      <c r="F115" s="28">
        <v>20.3893132</v>
      </c>
      <c r="G115" s="28">
        <v>19.141330100000001</v>
      </c>
      <c r="H115" s="28">
        <v>52.535781200000002</v>
      </c>
      <c r="I115" s="28">
        <v>38.598352400000003</v>
      </c>
      <c r="J115" s="28">
        <v>970.73574699999995</v>
      </c>
      <c r="K115" s="28">
        <v>972.67035299999998</v>
      </c>
      <c r="L115" s="28">
        <v>5.5196239299999998</v>
      </c>
      <c r="M115" s="28">
        <v>101.782264</v>
      </c>
      <c r="N115" s="28">
        <v>54.386256699999997</v>
      </c>
      <c r="O115" s="28">
        <v>1103.92479</v>
      </c>
      <c r="P115" s="28">
        <v>896.07521399999996</v>
      </c>
    </row>
    <row r="116" spans="1:16" x14ac:dyDescent="0.25">
      <c r="A116" s="39">
        <v>0</v>
      </c>
      <c r="B116" s="39">
        <v>114</v>
      </c>
      <c r="C116" s="28">
        <v>13.033969900000001</v>
      </c>
      <c r="D116" s="28">
        <v>5.9794138600000002</v>
      </c>
      <c r="E116" s="28">
        <v>26.956458099999999</v>
      </c>
      <c r="F116" s="28">
        <v>20.3403277</v>
      </c>
      <c r="G116" s="28">
        <v>19.160459299999999</v>
      </c>
      <c r="H116" s="28">
        <v>52.714376899999998</v>
      </c>
      <c r="I116" s="28">
        <v>38.715088799999997</v>
      </c>
      <c r="J116" s="28">
        <v>968.47438299999999</v>
      </c>
      <c r="K116" s="28">
        <v>974.28762500000005</v>
      </c>
      <c r="L116" s="28">
        <v>5.5396669899999997</v>
      </c>
      <c r="M116" s="28">
        <v>101.76605499999999</v>
      </c>
      <c r="N116" s="28">
        <v>53.726436399999997</v>
      </c>
      <c r="O116" s="28">
        <v>1107.9333999999999</v>
      </c>
      <c r="P116" s="28">
        <v>892.06660099999999</v>
      </c>
    </row>
    <row r="117" spans="1:16" x14ac:dyDescent="0.25">
      <c r="A117" s="39">
        <v>0</v>
      </c>
      <c r="B117" s="39">
        <v>115</v>
      </c>
      <c r="C117" s="28">
        <v>13.03426</v>
      </c>
      <c r="D117" s="28">
        <v>5.9685897700000003</v>
      </c>
      <c r="E117" s="28">
        <v>26.799735099999999</v>
      </c>
      <c r="F117" s="28">
        <v>20.315159600000001</v>
      </c>
      <c r="G117" s="28">
        <v>19.3158444</v>
      </c>
      <c r="H117" s="28">
        <v>52.870865500000001</v>
      </c>
      <c r="I117" s="28">
        <v>38.4854871</v>
      </c>
      <c r="J117" s="28">
        <v>970.86322600000005</v>
      </c>
      <c r="K117" s="28">
        <v>980.87749699999995</v>
      </c>
      <c r="L117" s="28">
        <v>5.5198257599999998</v>
      </c>
      <c r="M117" s="28">
        <v>102.087558</v>
      </c>
      <c r="N117" s="28">
        <v>53.4838892</v>
      </c>
      <c r="O117" s="28">
        <v>1103.96515</v>
      </c>
      <c r="P117" s="28">
        <v>896.03484800000001</v>
      </c>
    </row>
    <row r="118" spans="1:16" x14ac:dyDescent="0.25">
      <c r="A118" s="39">
        <v>0</v>
      </c>
      <c r="B118" s="39">
        <v>116</v>
      </c>
      <c r="C118" s="28">
        <v>13.000791100000001</v>
      </c>
      <c r="D118" s="28">
        <v>5.96075306</v>
      </c>
      <c r="E118" s="28">
        <v>27.039427199999999</v>
      </c>
      <c r="F118" s="28">
        <v>20.396099100000001</v>
      </c>
      <c r="G118" s="28">
        <v>19.416322699999998</v>
      </c>
      <c r="H118" s="28">
        <v>53.186444700000003</v>
      </c>
      <c r="I118" s="28">
        <v>37.635502199999998</v>
      </c>
      <c r="J118" s="28">
        <v>968.91309699999999</v>
      </c>
      <c r="K118" s="28">
        <v>978.88095799999996</v>
      </c>
      <c r="L118" s="28">
        <v>5.4758855200000003</v>
      </c>
      <c r="M118" s="28">
        <v>101.886268</v>
      </c>
      <c r="N118" s="28">
        <v>52.474146900000001</v>
      </c>
      <c r="O118" s="28">
        <v>1095.1771000000001</v>
      </c>
      <c r="P118" s="28">
        <v>904.82289500000002</v>
      </c>
    </row>
    <row r="119" spans="1:16" x14ac:dyDescent="0.25">
      <c r="A119" s="39">
        <v>0</v>
      </c>
      <c r="B119" s="39">
        <v>117</v>
      </c>
      <c r="C119" s="28">
        <v>13.019137199999999</v>
      </c>
      <c r="D119" s="28">
        <v>5.9207124699999998</v>
      </c>
      <c r="E119" s="28">
        <v>26.933826100000001</v>
      </c>
      <c r="F119" s="28">
        <v>20.243610100000001</v>
      </c>
      <c r="G119" s="28">
        <v>19.2689445</v>
      </c>
      <c r="H119" s="28">
        <v>53.357371399999998</v>
      </c>
      <c r="I119" s="28">
        <v>37.159458700000002</v>
      </c>
      <c r="J119" s="28">
        <v>972.00113999999996</v>
      </c>
      <c r="K119" s="28">
        <v>975.4855</v>
      </c>
      <c r="L119" s="28">
        <v>5.5139343399999996</v>
      </c>
      <c r="M119" s="28">
        <v>101.596221</v>
      </c>
      <c r="N119" s="28">
        <v>52.692430999999999</v>
      </c>
      <c r="O119" s="28">
        <v>1102.7868699999999</v>
      </c>
      <c r="P119" s="28">
        <v>897.21313099999998</v>
      </c>
    </row>
    <row r="120" spans="1:16" x14ac:dyDescent="0.25">
      <c r="A120" s="39">
        <v>0</v>
      </c>
      <c r="B120" s="39">
        <v>118</v>
      </c>
      <c r="C120" s="28">
        <v>13.078150900000001</v>
      </c>
      <c r="D120" s="28">
        <v>5.9151273800000004</v>
      </c>
      <c r="E120" s="28">
        <v>26.797229699999999</v>
      </c>
      <c r="F120" s="28">
        <v>20.106026499999999</v>
      </c>
      <c r="G120" s="28">
        <v>19.175300700000001</v>
      </c>
      <c r="H120" s="28">
        <v>52.853874699999999</v>
      </c>
      <c r="I120" s="28">
        <v>37.224562900000002</v>
      </c>
      <c r="J120" s="28">
        <v>970.48453099999995</v>
      </c>
      <c r="K120" s="28">
        <v>971.23491100000001</v>
      </c>
      <c r="L120" s="28">
        <v>5.5444488099999996</v>
      </c>
      <c r="M120" s="28">
        <v>101.514381</v>
      </c>
      <c r="N120" s="28">
        <v>52.371374899999999</v>
      </c>
      <c r="O120" s="28">
        <v>1108.88976</v>
      </c>
      <c r="P120" s="28">
        <v>891.11023799999998</v>
      </c>
    </row>
    <row r="121" spans="1:16" x14ac:dyDescent="0.25">
      <c r="A121" s="39">
        <v>0</v>
      </c>
      <c r="B121" s="39">
        <v>119</v>
      </c>
      <c r="C121" s="28">
        <v>12.9637627</v>
      </c>
      <c r="D121" s="28">
        <v>5.8994773399999998</v>
      </c>
      <c r="E121" s="28">
        <v>26.7664522</v>
      </c>
      <c r="F121" s="28">
        <v>20.2456709</v>
      </c>
      <c r="G121" s="28">
        <v>19.1536708</v>
      </c>
      <c r="H121" s="28">
        <v>52.297868700000002</v>
      </c>
      <c r="I121" s="28">
        <v>36.889075300000002</v>
      </c>
      <c r="J121" s="28">
        <v>973.02135899999996</v>
      </c>
      <c r="K121" s="28">
        <v>967.36025099999995</v>
      </c>
      <c r="L121" s="28">
        <v>5.4943025499999996</v>
      </c>
      <c r="M121" s="28">
        <v>101.159395</v>
      </c>
      <c r="N121" s="28">
        <v>52.676150399999997</v>
      </c>
      <c r="O121" s="28">
        <v>1098.86051</v>
      </c>
      <c r="P121" s="28">
        <v>901.13949000000002</v>
      </c>
    </row>
    <row r="122" spans="1:16" x14ac:dyDescent="0.25">
      <c r="A122" s="39">
        <v>0</v>
      </c>
      <c r="B122" s="39">
        <v>120</v>
      </c>
      <c r="C122" s="28">
        <v>13.0157525</v>
      </c>
      <c r="D122" s="28">
        <v>5.9140727000000002</v>
      </c>
      <c r="E122" s="28">
        <v>26.855148</v>
      </c>
      <c r="F122" s="28">
        <v>20.406317999999999</v>
      </c>
      <c r="G122" s="28">
        <v>19.233205399999999</v>
      </c>
      <c r="H122" s="28">
        <v>52.429523400000001</v>
      </c>
      <c r="I122" s="28">
        <v>37.0489648</v>
      </c>
      <c r="J122" s="28">
        <v>970.40252899999996</v>
      </c>
      <c r="K122" s="28">
        <v>966.76757699999996</v>
      </c>
      <c r="L122" s="28">
        <v>5.5313620600000002</v>
      </c>
      <c r="M122" s="28">
        <v>101.18289</v>
      </c>
      <c r="N122" s="28">
        <v>52.626270099999999</v>
      </c>
      <c r="O122" s="28">
        <v>1106.27241</v>
      </c>
      <c r="P122" s="28">
        <v>893.72758699999997</v>
      </c>
    </row>
    <row r="123" spans="1:16" x14ac:dyDescent="0.25">
      <c r="A123" s="39">
        <v>0</v>
      </c>
      <c r="B123" s="39">
        <v>121</v>
      </c>
      <c r="C123" s="28">
        <v>12.9966838</v>
      </c>
      <c r="D123" s="28">
        <v>5.9166877099999997</v>
      </c>
      <c r="E123" s="28">
        <v>26.874529800000001</v>
      </c>
      <c r="F123" s="28">
        <v>20.130243100000001</v>
      </c>
      <c r="G123" s="28">
        <v>19.0004612</v>
      </c>
      <c r="H123" s="28">
        <v>52.360321200000001</v>
      </c>
      <c r="I123" s="28">
        <v>37.114508899999997</v>
      </c>
      <c r="J123" s="28">
        <v>973.13354200000003</v>
      </c>
      <c r="K123" s="28">
        <v>963.62435200000004</v>
      </c>
      <c r="L123" s="28">
        <v>5.5655503700000004</v>
      </c>
      <c r="M123" s="28">
        <v>101.052221</v>
      </c>
      <c r="N123" s="28">
        <v>53.1176824</v>
      </c>
      <c r="O123" s="28">
        <v>1113.11007</v>
      </c>
      <c r="P123" s="28">
        <v>886.88992699999994</v>
      </c>
    </row>
    <row r="124" spans="1:16" x14ac:dyDescent="0.25">
      <c r="A124" s="39">
        <v>0</v>
      </c>
      <c r="B124" s="39">
        <v>122</v>
      </c>
      <c r="C124" s="28">
        <v>12.989055799999999</v>
      </c>
      <c r="D124" s="28">
        <v>5.9113795500000004</v>
      </c>
      <c r="E124" s="28">
        <v>26.959823700000001</v>
      </c>
      <c r="F124" s="28">
        <v>20.020240600000001</v>
      </c>
      <c r="G124" s="28">
        <v>18.971979399999999</v>
      </c>
      <c r="H124" s="28">
        <v>52.6203091</v>
      </c>
      <c r="I124" s="28">
        <v>37.126758899999999</v>
      </c>
      <c r="J124" s="28">
        <v>971.35495700000001</v>
      </c>
      <c r="K124" s="28">
        <v>966.45303100000001</v>
      </c>
      <c r="L124" s="28">
        <v>5.5214935399999998</v>
      </c>
      <c r="M124" s="28">
        <v>101.06610000000001</v>
      </c>
      <c r="N124" s="28">
        <v>52.614010800000003</v>
      </c>
      <c r="O124" s="28">
        <v>1104.29871</v>
      </c>
      <c r="P124" s="28">
        <v>895.70129099999997</v>
      </c>
    </row>
    <row r="125" spans="1:16" x14ac:dyDescent="0.25">
      <c r="A125" s="39">
        <v>0</v>
      </c>
      <c r="B125" s="39">
        <v>123</v>
      </c>
      <c r="C125" s="28">
        <v>13.040163</v>
      </c>
      <c r="D125" s="28">
        <v>6.0029376499999998</v>
      </c>
      <c r="E125" s="28">
        <v>26.848807499999999</v>
      </c>
      <c r="F125" s="28">
        <v>19.991647799999999</v>
      </c>
      <c r="G125" s="28">
        <v>18.801755199999999</v>
      </c>
      <c r="H125" s="28">
        <v>52.858275900000002</v>
      </c>
      <c r="I125" s="28">
        <v>37.500327400000003</v>
      </c>
      <c r="J125" s="28">
        <v>972.26653999999996</v>
      </c>
      <c r="K125" s="28">
        <v>968.34544100000005</v>
      </c>
      <c r="L125" s="28">
        <v>5.4821992000000002</v>
      </c>
      <c r="M125" s="28">
        <v>101.078211</v>
      </c>
      <c r="N125" s="28">
        <v>52.361073400000002</v>
      </c>
      <c r="O125" s="28">
        <v>1096.43984</v>
      </c>
      <c r="P125" s="28">
        <v>903.56016</v>
      </c>
    </row>
    <row r="126" spans="1:16" x14ac:dyDescent="0.25">
      <c r="A126" s="39">
        <v>0</v>
      </c>
      <c r="B126" s="39">
        <v>124</v>
      </c>
      <c r="C126" s="28">
        <v>13.059084500000001</v>
      </c>
      <c r="D126" s="28">
        <v>5.9624592600000001</v>
      </c>
      <c r="E126" s="28">
        <v>27.094434700000001</v>
      </c>
      <c r="F126" s="28">
        <v>19.765577400000002</v>
      </c>
      <c r="G126" s="28">
        <v>18.725450299999999</v>
      </c>
      <c r="H126" s="28">
        <v>52.395549699999997</v>
      </c>
      <c r="I126" s="28">
        <v>37.321821399999997</v>
      </c>
      <c r="J126" s="28">
        <v>971.50955399999998</v>
      </c>
      <c r="K126" s="28">
        <v>970.01484700000003</v>
      </c>
      <c r="L126" s="28">
        <v>5.52001426</v>
      </c>
      <c r="M126" s="28">
        <v>100.881969</v>
      </c>
      <c r="N126" s="28">
        <v>51.5473286</v>
      </c>
      <c r="O126" s="28">
        <v>1104.0028500000001</v>
      </c>
      <c r="P126" s="28">
        <v>895.99714700000004</v>
      </c>
    </row>
    <row r="127" spans="1:16" x14ac:dyDescent="0.25">
      <c r="A127" s="39">
        <v>0</v>
      </c>
      <c r="B127" s="39">
        <v>125</v>
      </c>
      <c r="C127" s="28">
        <v>12.956630499999999</v>
      </c>
      <c r="D127" s="28">
        <v>5.9414724999999997</v>
      </c>
      <c r="E127" s="28">
        <v>26.762139000000001</v>
      </c>
      <c r="F127" s="28">
        <v>19.780127499999999</v>
      </c>
      <c r="G127" s="28">
        <v>18.589662100000002</v>
      </c>
      <c r="H127" s="28">
        <v>51.760073499999997</v>
      </c>
      <c r="I127" s="28">
        <v>36.842596899999997</v>
      </c>
      <c r="J127" s="28">
        <v>974.36468100000002</v>
      </c>
      <c r="K127" s="28">
        <v>975.38168099999996</v>
      </c>
      <c r="L127" s="28">
        <v>5.4572231200000001</v>
      </c>
      <c r="M127" s="28">
        <v>100.34533399999999</v>
      </c>
      <c r="N127" s="28">
        <v>51.240537400000001</v>
      </c>
      <c r="O127" s="28">
        <v>1091.44462</v>
      </c>
      <c r="P127" s="28">
        <v>908.55537700000002</v>
      </c>
    </row>
    <row r="128" spans="1:16" x14ac:dyDescent="0.25">
      <c r="A128" s="39">
        <v>0</v>
      </c>
      <c r="B128" s="39">
        <v>126</v>
      </c>
      <c r="C128" s="28">
        <v>12.8881061</v>
      </c>
      <c r="D128" s="28">
        <v>5.9640015100000001</v>
      </c>
      <c r="E128" s="28">
        <v>26.570543799999999</v>
      </c>
      <c r="F128" s="28">
        <v>19.8804397</v>
      </c>
      <c r="G128" s="28">
        <v>18.731333299999999</v>
      </c>
      <c r="H128" s="28">
        <v>51.786674499999997</v>
      </c>
      <c r="I128" s="28">
        <v>36.2481176</v>
      </c>
      <c r="J128" s="28">
        <v>972.27959599999997</v>
      </c>
      <c r="K128" s="28">
        <v>975.43416100000002</v>
      </c>
      <c r="L128" s="28">
        <v>5.3463303900000003</v>
      </c>
      <c r="M128" s="28">
        <v>100.042441</v>
      </c>
      <c r="N128" s="28">
        <v>50.322181499999999</v>
      </c>
      <c r="O128" s="28">
        <v>1069.2660800000001</v>
      </c>
      <c r="P128" s="28">
        <v>930.73392100000001</v>
      </c>
    </row>
    <row r="129" spans="1:16" x14ac:dyDescent="0.25">
      <c r="A129" s="39">
        <v>0</v>
      </c>
      <c r="B129" s="39">
        <v>127</v>
      </c>
      <c r="C129" s="28">
        <v>12.9344517</v>
      </c>
      <c r="D129" s="28">
        <v>5.9290465399999999</v>
      </c>
      <c r="E129" s="28">
        <v>26.686475699999999</v>
      </c>
      <c r="F129" s="28">
        <v>19.810197599999999</v>
      </c>
      <c r="G129" s="28">
        <v>18.661614199999999</v>
      </c>
      <c r="H129" s="28">
        <v>51.476784899999998</v>
      </c>
      <c r="I129" s="28">
        <v>36.146945600000002</v>
      </c>
      <c r="J129" s="28">
        <v>975.04460500000005</v>
      </c>
      <c r="K129" s="28">
        <v>969.700332</v>
      </c>
      <c r="L129" s="28">
        <v>5.3707308899999999</v>
      </c>
      <c r="M129" s="28">
        <v>99.841049600000005</v>
      </c>
      <c r="N129" s="28">
        <v>49.595672999999998</v>
      </c>
      <c r="O129" s="28">
        <v>1074.14618</v>
      </c>
      <c r="P129" s="28">
        <v>925.85382200000004</v>
      </c>
    </row>
    <row r="130" spans="1:16" x14ac:dyDescent="0.25">
      <c r="A130" s="39">
        <v>0</v>
      </c>
      <c r="B130" s="39">
        <v>128</v>
      </c>
      <c r="C130" s="28">
        <v>13.054648800000001</v>
      </c>
      <c r="D130" s="28">
        <v>5.9632593900000002</v>
      </c>
      <c r="E130" s="28">
        <v>26.702173299999998</v>
      </c>
      <c r="F130" s="28">
        <v>19.813689199999999</v>
      </c>
      <c r="G130" s="28">
        <v>18.679748700000001</v>
      </c>
      <c r="H130" s="28">
        <v>50.790953600000002</v>
      </c>
      <c r="I130" s="28">
        <v>36.280461500000001</v>
      </c>
      <c r="J130" s="28">
        <v>973.04792299999997</v>
      </c>
      <c r="K130" s="28">
        <v>968.395126</v>
      </c>
      <c r="L130" s="28">
        <v>5.3196555099999996</v>
      </c>
      <c r="M130" s="28">
        <v>99.875173799999999</v>
      </c>
      <c r="N130" s="28">
        <v>48.985124399999997</v>
      </c>
      <c r="O130" s="28">
        <v>1063.9311</v>
      </c>
      <c r="P130" s="28">
        <v>936.06889899999999</v>
      </c>
    </row>
    <row r="131" spans="1:16" x14ac:dyDescent="0.25">
      <c r="A131" s="39">
        <v>0</v>
      </c>
      <c r="B131" s="39">
        <v>129</v>
      </c>
      <c r="C131" s="28">
        <v>13.0885648</v>
      </c>
      <c r="D131" s="28">
        <v>6.0099138600000002</v>
      </c>
      <c r="E131" s="28">
        <v>27.0304696</v>
      </c>
      <c r="F131" s="28">
        <v>19.653208100000001</v>
      </c>
      <c r="G131" s="28">
        <v>18.678608199999999</v>
      </c>
      <c r="H131" s="28">
        <v>50.516140300000004</v>
      </c>
      <c r="I131" s="28">
        <v>36.274620200000001</v>
      </c>
      <c r="J131" s="28">
        <v>974.87866099999997</v>
      </c>
      <c r="K131" s="28">
        <v>973.25736099999995</v>
      </c>
      <c r="L131" s="28">
        <v>5.29156242</v>
      </c>
      <c r="M131" s="28">
        <v>99.834883300000001</v>
      </c>
      <c r="N131" s="28">
        <v>49.0022485</v>
      </c>
      <c r="O131" s="28">
        <v>1058.3124800000001</v>
      </c>
      <c r="P131" s="28">
        <v>941.68751499999996</v>
      </c>
    </row>
    <row r="132" spans="1:16" x14ac:dyDescent="0.25">
      <c r="A132" s="39">
        <v>0</v>
      </c>
      <c r="B132" s="39">
        <v>130</v>
      </c>
      <c r="C132" s="28">
        <v>13.0558581</v>
      </c>
      <c r="D132" s="28">
        <v>6.0201758300000003</v>
      </c>
      <c r="E132" s="28">
        <v>27.3482901</v>
      </c>
      <c r="F132" s="28">
        <v>19.907402399999999</v>
      </c>
      <c r="G132" s="28">
        <v>18.785326399999999</v>
      </c>
      <c r="H132" s="28">
        <v>50.159917200000002</v>
      </c>
      <c r="I132" s="28">
        <v>36.360171100000002</v>
      </c>
      <c r="J132" s="28">
        <v>972.65082800000005</v>
      </c>
      <c r="K132" s="28">
        <v>974.44928100000004</v>
      </c>
      <c r="L132" s="28">
        <v>5.2800805000000004</v>
      </c>
      <c r="M132" s="28">
        <v>100.272564</v>
      </c>
      <c r="N132" s="28">
        <v>49.048811899999997</v>
      </c>
      <c r="O132" s="28">
        <v>1056.0161000000001</v>
      </c>
      <c r="P132" s="28">
        <v>943.98389999999995</v>
      </c>
    </row>
    <row r="133" spans="1:16" x14ac:dyDescent="0.25">
      <c r="A133" s="39">
        <v>0</v>
      </c>
      <c r="B133" s="39">
        <v>131</v>
      </c>
      <c r="C133" s="28">
        <v>13.135634700000001</v>
      </c>
      <c r="D133" s="28">
        <v>6.0318737599999999</v>
      </c>
      <c r="E133" s="28">
        <v>27.760539999999999</v>
      </c>
      <c r="F133" s="28">
        <v>20.108224700000001</v>
      </c>
      <c r="G133" s="28">
        <v>18.843139099999998</v>
      </c>
      <c r="H133" s="28">
        <v>50.023725900000002</v>
      </c>
      <c r="I133" s="28">
        <v>36.216754299999998</v>
      </c>
      <c r="J133" s="28">
        <v>974.14731600000005</v>
      </c>
      <c r="K133" s="28">
        <v>975.01069700000005</v>
      </c>
      <c r="L133" s="28">
        <v>5.2562204000000001</v>
      </c>
      <c r="M133" s="28">
        <v>100.35848300000001</v>
      </c>
      <c r="N133" s="28">
        <v>48.699201500000001</v>
      </c>
      <c r="O133" s="28">
        <v>1051.2440799999999</v>
      </c>
      <c r="P133" s="28">
        <v>948.75592099999994</v>
      </c>
    </row>
    <row r="134" spans="1:16" x14ac:dyDescent="0.25">
      <c r="A134" s="39">
        <v>0</v>
      </c>
      <c r="B134" s="39">
        <v>132</v>
      </c>
      <c r="C134" s="28">
        <v>13.1317755</v>
      </c>
      <c r="D134" s="28">
        <v>6.0270848800000003</v>
      </c>
      <c r="E134" s="28">
        <v>27.7865097</v>
      </c>
      <c r="F134" s="28">
        <v>19.943444899999999</v>
      </c>
      <c r="G134" s="28">
        <v>18.621952799999999</v>
      </c>
      <c r="H134" s="28">
        <v>49.836859199999999</v>
      </c>
      <c r="I134" s="28">
        <v>35.752876299999997</v>
      </c>
      <c r="J134" s="28">
        <v>973.12075600000003</v>
      </c>
      <c r="K134" s="28">
        <v>970.09272699999997</v>
      </c>
      <c r="L134" s="28">
        <v>5.2152934399999999</v>
      </c>
      <c r="M134" s="28">
        <v>100.178371</v>
      </c>
      <c r="N134" s="28">
        <v>48.741757399999997</v>
      </c>
      <c r="O134" s="28">
        <v>1043.0586900000001</v>
      </c>
      <c r="P134" s="28">
        <v>956.94131200000004</v>
      </c>
    </row>
    <row r="135" spans="1:16" x14ac:dyDescent="0.25">
      <c r="A135" s="39">
        <v>0</v>
      </c>
      <c r="B135" s="39">
        <v>133</v>
      </c>
      <c r="C135" s="28">
        <v>13.1335546</v>
      </c>
      <c r="D135" s="28">
        <v>6.0129343400000002</v>
      </c>
      <c r="E135" s="28">
        <v>27.6225165</v>
      </c>
      <c r="F135" s="28">
        <v>20.1066875</v>
      </c>
      <c r="G135" s="28">
        <v>18.4755906</v>
      </c>
      <c r="H135" s="28">
        <v>49.795921100000001</v>
      </c>
      <c r="I135" s="28">
        <v>35.363317799999997</v>
      </c>
      <c r="J135" s="28">
        <v>975.13325799999996</v>
      </c>
      <c r="K135" s="28">
        <v>975.02167699999995</v>
      </c>
      <c r="L135" s="28">
        <v>5.1858048400000003</v>
      </c>
      <c r="M135" s="28">
        <v>100.38379999999999</v>
      </c>
      <c r="N135" s="28">
        <v>49.697215700000001</v>
      </c>
      <c r="O135" s="28">
        <v>1037.1609699999999</v>
      </c>
      <c r="P135" s="28">
        <v>962.83903299999997</v>
      </c>
    </row>
    <row r="136" spans="1:16" x14ac:dyDescent="0.25">
      <c r="A136" s="39">
        <v>0</v>
      </c>
      <c r="B136" s="39">
        <v>134</v>
      </c>
      <c r="C136" s="28">
        <v>12.9847097</v>
      </c>
      <c r="D136" s="28">
        <v>6.0219077499999996</v>
      </c>
      <c r="E136" s="28">
        <v>27.876456900000001</v>
      </c>
      <c r="F136" s="28">
        <v>20.247209900000001</v>
      </c>
      <c r="G136" s="28">
        <v>18.3210035</v>
      </c>
      <c r="H136" s="28">
        <v>50.196461399999997</v>
      </c>
      <c r="I136" s="28">
        <v>35.418362600000002</v>
      </c>
      <c r="J136" s="28">
        <v>973.03808400000003</v>
      </c>
      <c r="K136" s="28">
        <v>979.700918</v>
      </c>
      <c r="L136" s="28">
        <v>5.2559298600000002</v>
      </c>
      <c r="M136" s="28">
        <v>100.573678</v>
      </c>
      <c r="N136" s="28">
        <v>49.639217000000002</v>
      </c>
      <c r="O136" s="28">
        <v>1051.18597</v>
      </c>
      <c r="P136" s="28">
        <v>948.81402800000001</v>
      </c>
    </row>
    <row r="137" spans="1:16" x14ac:dyDescent="0.25">
      <c r="A137" s="39">
        <v>0</v>
      </c>
      <c r="B137" s="39">
        <v>135</v>
      </c>
      <c r="C137" s="28">
        <v>12.8882628</v>
      </c>
      <c r="D137" s="28">
        <v>6.0435235599999997</v>
      </c>
      <c r="E137" s="28">
        <v>27.9542936</v>
      </c>
      <c r="F137" s="28">
        <v>20.392966099999999</v>
      </c>
      <c r="G137" s="28">
        <v>18.4316505</v>
      </c>
      <c r="H137" s="28">
        <v>49.701714600000003</v>
      </c>
      <c r="I137" s="28">
        <v>35.236491999999998</v>
      </c>
      <c r="J137" s="28">
        <v>974.72361699999999</v>
      </c>
      <c r="K137" s="28">
        <v>978.314571</v>
      </c>
      <c r="L137" s="28">
        <v>5.2650463399999996</v>
      </c>
      <c r="M137" s="28">
        <v>100.954002</v>
      </c>
      <c r="N137" s="28">
        <v>49.563282200000003</v>
      </c>
      <c r="O137" s="28">
        <v>1053.00927</v>
      </c>
      <c r="P137" s="28">
        <v>946.99073199999998</v>
      </c>
    </row>
    <row r="138" spans="1:16" x14ac:dyDescent="0.25">
      <c r="A138" s="39">
        <v>0</v>
      </c>
      <c r="B138" s="39">
        <v>136</v>
      </c>
      <c r="C138" s="28">
        <v>12.8401426</v>
      </c>
      <c r="D138" s="28">
        <v>6.0373938699999998</v>
      </c>
      <c r="E138" s="28">
        <v>27.940584399999999</v>
      </c>
      <c r="F138" s="28">
        <v>20.214682499999999</v>
      </c>
      <c r="G138" s="28">
        <v>18.429935700000001</v>
      </c>
      <c r="H138" s="28">
        <v>49.452796999999997</v>
      </c>
      <c r="I138" s="28">
        <v>35.957069300000001</v>
      </c>
      <c r="J138" s="28">
        <v>973.41020200000003</v>
      </c>
      <c r="K138" s="28">
        <v>977.82790699999998</v>
      </c>
      <c r="L138" s="28">
        <v>5.2686179800000001</v>
      </c>
      <c r="M138" s="28">
        <v>100.761437</v>
      </c>
      <c r="N138" s="28">
        <v>49.393444600000002</v>
      </c>
      <c r="O138" s="28">
        <v>1053.7236</v>
      </c>
      <c r="P138" s="28">
        <v>946.27640399999996</v>
      </c>
    </row>
    <row r="139" spans="1:16" x14ac:dyDescent="0.25">
      <c r="A139" s="39">
        <v>0</v>
      </c>
      <c r="B139" s="39">
        <v>137</v>
      </c>
      <c r="C139" s="28">
        <v>12.9078345</v>
      </c>
      <c r="D139" s="28">
        <v>6.0726744100000003</v>
      </c>
      <c r="E139" s="28">
        <v>27.8896631</v>
      </c>
      <c r="F139" s="28">
        <v>20.277532000000001</v>
      </c>
      <c r="G139" s="28">
        <v>18.4556483</v>
      </c>
      <c r="H139" s="28">
        <v>49.308193299999999</v>
      </c>
      <c r="I139" s="28">
        <v>36.319611299999998</v>
      </c>
      <c r="J139" s="28">
        <v>974.69098299999996</v>
      </c>
      <c r="K139" s="28">
        <v>976.10274800000002</v>
      </c>
      <c r="L139" s="28">
        <v>5.2679876999999999</v>
      </c>
      <c r="M139" s="28">
        <v>101.065439</v>
      </c>
      <c r="N139" s="28">
        <v>49.302800300000001</v>
      </c>
      <c r="O139" s="28">
        <v>1053.59754</v>
      </c>
      <c r="P139" s="28">
        <v>946.40246000000002</v>
      </c>
    </row>
    <row r="140" spans="1:16" x14ac:dyDescent="0.25">
      <c r="A140" s="39">
        <v>0</v>
      </c>
      <c r="B140" s="39">
        <v>138</v>
      </c>
      <c r="C140" s="28">
        <v>12.846818600000001</v>
      </c>
      <c r="D140" s="28">
        <v>6.0876183900000003</v>
      </c>
      <c r="E140" s="28">
        <v>27.919951300000001</v>
      </c>
      <c r="F140" s="28">
        <v>20.324442300000001</v>
      </c>
      <c r="G140" s="28">
        <v>18.3397246</v>
      </c>
      <c r="H140" s="28">
        <v>49.2056969</v>
      </c>
      <c r="I140" s="28">
        <v>35.876458300000003</v>
      </c>
      <c r="J140" s="28">
        <v>973.11213399999997</v>
      </c>
      <c r="K140" s="28">
        <v>979.42130399999996</v>
      </c>
      <c r="L140" s="28">
        <v>5.30111475</v>
      </c>
      <c r="M140" s="28">
        <v>100.62267300000001</v>
      </c>
      <c r="N140" s="28">
        <v>49.5230009</v>
      </c>
      <c r="O140" s="28">
        <v>1060.2229500000001</v>
      </c>
      <c r="P140" s="28">
        <v>939.77705000000003</v>
      </c>
    </row>
    <row r="141" spans="1:16" x14ac:dyDescent="0.25">
      <c r="A141" s="39">
        <v>0</v>
      </c>
      <c r="B141" s="39">
        <v>139</v>
      </c>
      <c r="C141" s="28">
        <v>12.9616255</v>
      </c>
      <c r="D141" s="28">
        <v>6.0997266899999998</v>
      </c>
      <c r="E141" s="28">
        <v>27.696979200000001</v>
      </c>
      <c r="F141" s="28">
        <v>20.344013400000001</v>
      </c>
      <c r="G141" s="28">
        <v>18.407124</v>
      </c>
      <c r="H141" s="28">
        <v>49.319545400000003</v>
      </c>
      <c r="I141" s="28">
        <v>35.581305800000003</v>
      </c>
      <c r="J141" s="28">
        <v>974.740589</v>
      </c>
      <c r="K141" s="28">
        <v>980.60542699999996</v>
      </c>
      <c r="L141" s="28">
        <v>5.3329043599999997</v>
      </c>
      <c r="M141" s="28">
        <v>100.67736499999999</v>
      </c>
      <c r="N141" s="28">
        <v>49.947141299999998</v>
      </c>
      <c r="O141" s="28">
        <v>1066.58087</v>
      </c>
      <c r="P141" s="28">
        <v>933.419128</v>
      </c>
    </row>
    <row r="142" spans="1:16" x14ac:dyDescent="0.25">
      <c r="A142" s="39">
        <v>0</v>
      </c>
      <c r="B142" s="39">
        <v>140</v>
      </c>
      <c r="C142" s="28">
        <v>12.8870442</v>
      </c>
      <c r="D142" s="28">
        <v>6.0753548000000004</v>
      </c>
      <c r="E142" s="28">
        <v>27.6887328</v>
      </c>
      <c r="F142" s="28">
        <v>20.2171688</v>
      </c>
      <c r="G142" s="28">
        <v>18.222629699999999</v>
      </c>
      <c r="H142" s="28">
        <v>49.342626600000003</v>
      </c>
      <c r="I142" s="28">
        <v>35.302644800000003</v>
      </c>
      <c r="J142" s="28">
        <v>973.911697</v>
      </c>
      <c r="K142" s="28">
        <v>973.849064</v>
      </c>
      <c r="L142" s="28">
        <v>5.3410204500000003</v>
      </c>
      <c r="M142" s="28">
        <v>100.675381</v>
      </c>
      <c r="N142" s="28">
        <v>49.654718699999997</v>
      </c>
      <c r="O142" s="28">
        <v>1068.20409</v>
      </c>
      <c r="P142" s="28">
        <v>931.79590900000005</v>
      </c>
    </row>
    <row r="143" spans="1:16" x14ac:dyDescent="0.25">
      <c r="A143" s="39">
        <v>0</v>
      </c>
      <c r="B143" s="39">
        <v>141</v>
      </c>
      <c r="C143" s="28">
        <v>12.8999802</v>
      </c>
      <c r="D143" s="28">
        <v>6.14257469</v>
      </c>
      <c r="E143" s="28">
        <v>27.6882737</v>
      </c>
      <c r="F143" s="28">
        <v>20.159388799999999</v>
      </c>
      <c r="G143" s="28">
        <v>18.350128699999999</v>
      </c>
      <c r="H143" s="28">
        <v>49.222052499999997</v>
      </c>
      <c r="I143" s="28">
        <v>35.509870800000002</v>
      </c>
      <c r="J143" s="28">
        <v>974.96380699999997</v>
      </c>
      <c r="K143" s="28">
        <v>971.77903300000003</v>
      </c>
      <c r="L143" s="28">
        <v>5.41141016</v>
      </c>
      <c r="M143" s="28">
        <v>101.145323</v>
      </c>
      <c r="N143" s="28">
        <v>49.329897500000001</v>
      </c>
      <c r="O143" s="28">
        <v>1082.2820300000001</v>
      </c>
      <c r="P143" s="28">
        <v>917.71796900000004</v>
      </c>
    </row>
    <row r="144" spans="1:16" x14ac:dyDescent="0.25">
      <c r="A144" s="39">
        <v>0</v>
      </c>
      <c r="B144" s="39">
        <v>142</v>
      </c>
      <c r="C144" s="28">
        <v>12.7489271</v>
      </c>
      <c r="D144" s="28">
        <v>6.0659758899999998</v>
      </c>
      <c r="E144" s="28">
        <v>27.948349199999999</v>
      </c>
      <c r="F144" s="28">
        <v>20.1196144</v>
      </c>
      <c r="G144" s="28">
        <v>18.273876300000001</v>
      </c>
      <c r="H144" s="28">
        <v>49.0348994</v>
      </c>
      <c r="I144" s="28">
        <v>35.702034699999999</v>
      </c>
      <c r="J144" s="28">
        <v>974.57138899999995</v>
      </c>
      <c r="K144" s="28">
        <v>972.10579399999995</v>
      </c>
      <c r="L144" s="28">
        <v>5.44984439</v>
      </c>
      <c r="M144" s="28">
        <v>101.00008200000001</v>
      </c>
      <c r="N144" s="28">
        <v>49.587778900000004</v>
      </c>
      <c r="O144" s="28">
        <v>1089.9688799999999</v>
      </c>
      <c r="P144" s="28">
        <v>910.03112299999998</v>
      </c>
    </row>
    <row r="145" spans="1:16" x14ac:dyDescent="0.25">
      <c r="A145" s="39">
        <v>0</v>
      </c>
      <c r="B145" s="39">
        <v>143</v>
      </c>
      <c r="C145" s="28">
        <v>12.828692200000001</v>
      </c>
      <c r="D145" s="28">
        <v>6.0359010900000003</v>
      </c>
      <c r="E145" s="28">
        <v>27.879609899999998</v>
      </c>
      <c r="F145" s="28">
        <v>20.254354200000002</v>
      </c>
      <c r="G145" s="28">
        <v>18.3771971</v>
      </c>
      <c r="H145" s="28">
        <v>48.780138600000001</v>
      </c>
      <c r="I145" s="28">
        <v>35.790709300000003</v>
      </c>
      <c r="J145" s="28">
        <v>976.44316700000002</v>
      </c>
      <c r="K145" s="28">
        <v>970.16686300000003</v>
      </c>
      <c r="L145" s="28">
        <v>5.4014232900000003</v>
      </c>
      <c r="M145" s="28">
        <v>101.14921699999999</v>
      </c>
      <c r="N145" s="28">
        <v>48.7403707</v>
      </c>
      <c r="O145" s="28">
        <v>1080.28466</v>
      </c>
      <c r="P145" s="28">
        <v>919.71534199999996</v>
      </c>
    </row>
    <row r="146" spans="1:16" x14ac:dyDescent="0.25">
      <c r="A146" s="39">
        <v>0</v>
      </c>
      <c r="B146" s="39">
        <v>144</v>
      </c>
      <c r="C146" s="28">
        <v>12.9137846</v>
      </c>
      <c r="D146" s="28">
        <v>6.0224425200000002</v>
      </c>
      <c r="E146" s="28">
        <v>27.705662499999999</v>
      </c>
      <c r="F146" s="28">
        <v>20.215931099999999</v>
      </c>
      <c r="G146" s="28">
        <v>18.350229500000001</v>
      </c>
      <c r="H146" s="28">
        <v>48.732453499999998</v>
      </c>
      <c r="I146" s="28">
        <v>35.699834199999998</v>
      </c>
      <c r="J146" s="28">
        <v>975.22071400000004</v>
      </c>
      <c r="K146" s="28">
        <v>966.66725099999996</v>
      </c>
      <c r="L146" s="28">
        <v>5.4045522999999998</v>
      </c>
      <c r="M146" s="28">
        <v>100.988446</v>
      </c>
      <c r="N146" s="28">
        <v>49.267507500000001</v>
      </c>
      <c r="O146" s="28">
        <v>1080.9104600000001</v>
      </c>
      <c r="P146" s="28">
        <v>919.08954100000005</v>
      </c>
    </row>
    <row r="147" spans="1:16" x14ac:dyDescent="0.25">
      <c r="A147" s="39">
        <v>0</v>
      </c>
      <c r="B147" s="39">
        <v>145</v>
      </c>
      <c r="C147" s="28">
        <v>12.906320900000001</v>
      </c>
      <c r="D147" s="28">
        <v>6.0171416799999999</v>
      </c>
      <c r="E147" s="28">
        <v>27.695907500000001</v>
      </c>
      <c r="F147" s="28">
        <v>20.243525999999999</v>
      </c>
      <c r="G147" s="28">
        <v>18.424056199999999</v>
      </c>
      <c r="H147" s="28">
        <v>49.133338999999999</v>
      </c>
      <c r="I147" s="28">
        <v>35.883264699999998</v>
      </c>
      <c r="J147" s="28">
        <v>976.75464799999997</v>
      </c>
      <c r="K147" s="28">
        <v>960.72931000000005</v>
      </c>
      <c r="L147" s="28">
        <v>5.4221782599999999</v>
      </c>
      <c r="M147" s="28">
        <v>101.359036</v>
      </c>
      <c r="N147" s="28">
        <v>49.876807300000003</v>
      </c>
      <c r="O147" s="28">
        <v>1084.4356499999999</v>
      </c>
      <c r="P147" s="28">
        <v>915.564347</v>
      </c>
    </row>
    <row r="148" spans="1:16" x14ac:dyDescent="0.25">
      <c r="A148" s="39">
        <v>0</v>
      </c>
      <c r="B148" s="39">
        <v>146</v>
      </c>
      <c r="C148" s="28">
        <v>12.9084919</v>
      </c>
      <c r="D148" s="28">
        <v>6.0577368199999997</v>
      </c>
      <c r="E148" s="28">
        <v>27.6041171</v>
      </c>
      <c r="F148" s="28">
        <v>20.4026143</v>
      </c>
      <c r="G148" s="28">
        <v>18.6286199</v>
      </c>
      <c r="H148" s="28">
        <v>49.010963199999999</v>
      </c>
      <c r="I148" s="28">
        <v>36.661906199999997</v>
      </c>
      <c r="J148" s="28">
        <v>974.33670400000005</v>
      </c>
      <c r="K148" s="28">
        <v>957.06439499999999</v>
      </c>
      <c r="L148" s="28">
        <v>5.4108603999999998</v>
      </c>
      <c r="M148" s="28">
        <v>101.996883</v>
      </c>
      <c r="N148" s="28">
        <v>48.722860599999997</v>
      </c>
      <c r="O148" s="28">
        <v>1082.1720800000001</v>
      </c>
      <c r="P148" s="28">
        <v>917.82791999999995</v>
      </c>
    </row>
    <row r="149" spans="1:16" x14ac:dyDescent="0.25">
      <c r="A149" s="39">
        <v>0</v>
      </c>
      <c r="B149" s="39">
        <v>147</v>
      </c>
      <c r="C149" s="28">
        <v>12.899509200000001</v>
      </c>
      <c r="D149" s="28">
        <v>6.0437590200000004</v>
      </c>
      <c r="E149" s="28">
        <v>27.545024699999999</v>
      </c>
      <c r="F149" s="28">
        <v>20.558058599999999</v>
      </c>
      <c r="G149" s="28">
        <v>18.761066899999999</v>
      </c>
      <c r="H149" s="28">
        <v>49.625719099999998</v>
      </c>
      <c r="I149" s="28">
        <v>37.300453400000002</v>
      </c>
      <c r="J149" s="28">
        <v>975.48795500000006</v>
      </c>
      <c r="K149" s="28">
        <v>952.23694</v>
      </c>
      <c r="L149" s="28">
        <v>5.4481190499999999</v>
      </c>
      <c r="M149" s="28">
        <v>102.29141</v>
      </c>
      <c r="N149" s="28">
        <v>48.522646199999997</v>
      </c>
      <c r="O149" s="28">
        <v>1089.62381</v>
      </c>
      <c r="P149" s="28">
        <v>910.37619099999995</v>
      </c>
    </row>
    <row r="150" spans="1:16" x14ac:dyDescent="0.25">
      <c r="A150" s="39">
        <v>0</v>
      </c>
      <c r="B150" s="39">
        <v>148</v>
      </c>
      <c r="C150" s="28">
        <v>12.734315</v>
      </c>
      <c r="D150" s="28">
        <v>6.0048260300000003</v>
      </c>
      <c r="E150" s="28">
        <v>27.1755985</v>
      </c>
      <c r="F150" s="28">
        <v>20.510953700000002</v>
      </c>
      <c r="G150" s="28">
        <v>18.695500299999999</v>
      </c>
      <c r="H150" s="28">
        <v>48.7588133</v>
      </c>
      <c r="I150" s="28">
        <v>36.855244800000001</v>
      </c>
      <c r="J150" s="28">
        <v>975.32364399999994</v>
      </c>
      <c r="K150" s="28">
        <v>951.11927000000003</v>
      </c>
      <c r="L150" s="28">
        <v>5.4108792899999996</v>
      </c>
      <c r="M150" s="28">
        <v>101.53258599999999</v>
      </c>
      <c r="N150" s="28">
        <v>47.989414699999998</v>
      </c>
      <c r="O150" s="28">
        <v>1082.1758600000001</v>
      </c>
      <c r="P150" s="28">
        <v>917.82414100000005</v>
      </c>
    </row>
    <row r="151" spans="1:16" x14ac:dyDescent="0.25">
      <c r="A151" s="39">
        <v>0</v>
      </c>
      <c r="B151" s="39">
        <v>149</v>
      </c>
      <c r="C151" s="28">
        <v>12.6960753</v>
      </c>
      <c r="D151" s="28">
        <v>5.9854855799999998</v>
      </c>
      <c r="E151" s="28">
        <v>27.122920499999999</v>
      </c>
      <c r="F151" s="28">
        <v>20.5408282</v>
      </c>
      <c r="G151" s="28">
        <v>18.548399199999999</v>
      </c>
      <c r="H151" s="28">
        <v>49.097126500000002</v>
      </c>
      <c r="I151" s="28">
        <v>37.0727951</v>
      </c>
      <c r="J151" s="28">
        <v>977.05824800000005</v>
      </c>
      <c r="K151" s="28">
        <v>951.06590800000004</v>
      </c>
      <c r="L151" s="28">
        <v>5.42935721</v>
      </c>
      <c r="M151" s="28">
        <v>101.478399</v>
      </c>
      <c r="N151" s="28">
        <v>48.769658</v>
      </c>
      <c r="O151" s="28">
        <v>1085.8714399999999</v>
      </c>
      <c r="P151" s="28">
        <v>914.128558</v>
      </c>
    </row>
    <row r="152" spans="1:16" x14ac:dyDescent="0.25">
      <c r="A152" s="39">
        <v>0</v>
      </c>
      <c r="B152" s="39">
        <v>150</v>
      </c>
      <c r="C152" s="28">
        <v>12.641481300000001</v>
      </c>
      <c r="D152" s="28">
        <v>6.0429912200000002</v>
      </c>
      <c r="E152" s="28">
        <v>27.103670999999999</v>
      </c>
      <c r="F152" s="28">
        <v>20.768359199999999</v>
      </c>
      <c r="G152" s="28">
        <v>18.6594424</v>
      </c>
      <c r="H152" s="28">
        <v>49.848641700000002</v>
      </c>
      <c r="I152" s="28">
        <v>37.047115699999999</v>
      </c>
      <c r="J152" s="28">
        <v>974.291471</v>
      </c>
      <c r="K152" s="28">
        <v>948.829656</v>
      </c>
      <c r="L152" s="28">
        <v>5.4534675799999999</v>
      </c>
      <c r="M152" s="28">
        <v>102.11239399999999</v>
      </c>
      <c r="N152" s="28">
        <v>48.440978899999998</v>
      </c>
      <c r="O152" s="28">
        <v>1090.69352</v>
      </c>
      <c r="P152" s="28">
        <v>909.30648399999995</v>
      </c>
    </row>
    <row r="153" spans="1:16" x14ac:dyDescent="0.25">
      <c r="A153" s="39">
        <v>0</v>
      </c>
      <c r="B153" s="39">
        <v>151</v>
      </c>
      <c r="C153" s="28">
        <v>12.7030186</v>
      </c>
      <c r="D153" s="28">
        <v>6.0470608400000003</v>
      </c>
      <c r="E153" s="28">
        <v>27.277441199999998</v>
      </c>
      <c r="F153" s="28">
        <v>20.713035699999999</v>
      </c>
      <c r="G153" s="28">
        <v>18.6359785</v>
      </c>
      <c r="H153" s="28">
        <v>50.148190300000003</v>
      </c>
      <c r="I153" s="28">
        <v>37.4026061</v>
      </c>
      <c r="J153" s="28">
        <v>975.71274500000004</v>
      </c>
      <c r="K153" s="28">
        <v>950.38563499999998</v>
      </c>
      <c r="L153" s="28">
        <v>5.41156302</v>
      </c>
      <c r="M153" s="28">
        <v>102.559196</v>
      </c>
      <c r="N153" s="28">
        <v>48.167455799999999</v>
      </c>
      <c r="O153" s="28">
        <v>1082.3126</v>
      </c>
      <c r="P153" s="28">
        <v>917.68739700000003</v>
      </c>
    </row>
    <row r="154" spans="1:16" x14ac:dyDescent="0.25">
      <c r="A154" s="39">
        <v>0</v>
      </c>
      <c r="B154" s="39">
        <v>152</v>
      </c>
      <c r="C154" s="28">
        <v>12.6827994</v>
      </c>
      <c r="D154" s="28">
        <v>6.0377815400000001</v>
      </c>
      <c r="E154" s="28">
        <v>27.364314400000001</v>
      </c>
      <c r="F154" s="28">
        <v>20.545636999999999</v>
      </c>
      <c r="G154" s="28">
        <v>18.663497899999999</v>
      </c>
      <c r="H154" s="28">
        <v>49.733575600000002</v>
      </c>
      <c r="I154" s="28">
        <v>37.150686700000001</v>
      </c>
      <c r="J154" s="28">
        <v>975.06795299999999</v>
      </c>
      <c r="K154" s="28">
        <v>944.03308400000003</v>
      </c>
      <c r="L154" s="28">
        <v>5.3904105700000002</v>
      </c>
      <c r="M154" s="28">
        <v>101.64089199999999</v>
      </c>
      <c r="N154" s="28">
        <v>47.916564100000002</v>
      </c>
      <c r="O154" s="28">
        <v>1078.0821100000001</v>
      </c>
      <c r="P154" s="28">
        <v>921.91788699999995</v>
      </c>
    </row>
    <row r="155" spans="1:16" x14ac:dyDescent="0.25">
      <c r="A155" s="39">
        <v>0</v>
      </c>
      <c r="B155" s="39">
        <v>153</v>
      </c>
      <c r="C155" s="28">
        <v>12.6217199</v>
      </c>
      <c r="D155" s="28">
        <v>6.0434635700000001</v>
      </c>
      <c r="E155" s="28">
        <v>27.732088000000001</v>
      </c>
      <c r="F155" s="28">
        <v>20.5318933</v>
      </c>
      <c r="G155" s="28">
        <v>18.7633759</v>
      </c>
      <c r="H155" s="28">
        <v>49.888191399999997</v>
      </c>
      <c r="I155" s="28">
        <v>37.221121099999998</v>
      </c>
      <c r="J155" s="28">
        <v>976.55301399999996</v>
      </c>
      <c r="K155" s="28">
        <v>949.64366099999995</v>
      </c>
      <c r="L155" s="28">
        <v>5.40162473</v>
      </c>
      <c r="M155" s="28">
        <v>101.872063</v>
      </c>
      <c r="N155" s="28">
        <v>48.526451700000003</v>
      </c>
      <c r="O155" s="28">
        <v>1080.3249499999999</v>
      </c>
      <c r="P155" s="28">
        <v>919.67505400000005</v>
      </c>
    </row>
    <row r="156" spans="1:16" x14ac:dyDescent="0.25">
      <c r="A156" s="39">
        <v>0</v>
      </c>
      <c r="B156" s="39">
        <v>154</v>
      </c>
      <c r="C156" s="28">
        <v>12.6665131</v>
      </c>
      <c r="D156" s="28">
        <v>6.0580548199999997</v>
      </c>
      <c r="E156" s="28">
        <v>27.9117426</v>
      </c>
      <c r="F156" s="28">
        <v>20.667691999999999</v>
      </c>
      <c r="G156" s="28">
        <v>18.769406199999999</v>
      </c>
      <c r="H156" s="28">
        <v>49.797491800000003</v>
      </c>
      <c r="I156" s="28">
        <v>37.2103374</v>
      </c>
      <c r="J156" s="28">
        <v>974.84437000000003</v>
      </c>
      <c r="K156" s="28">
        <v>947.04057299999999</v>
      </c>
      <c r="L156" s="28">
        <v>5.4328860800000003</v>
      </c>
      <c r="M156" s="28">
        <v>102.346423</v>
      </c>
      <c r="N156" s="28">
        <v>48.078339200000002</v>
      </c>
      <c r="O156" s="28">
        <v>1086.5772199999999</v>
      </c>
      <c r="P156" s="28">
        <v>913.42278299999998</v>
      </c>
    </row>
    <row r="157" spans="1:16" x14ac:dyDescent="0.25">
      <c r="A157" s="39">
        <v>0</v>
      </c>
      <c r="B157" s="39">
        <v>155</v>
      </c>
      <c r="C157" s="28">
        <v>12.589439499999999</v>
      </c>
      <c r="D157" s="28">
        <v>6.0798411999999997</v>
      </c>
      <c r="E157" s="28">
        <v>28.090187199999999</v>
      </c>
      <c r="F157" s="28">
        <v>20.675834299999998</v>
      </c>
      <c r="G157" s="28">
        <v>18.796988800000001</v>
      </c>
      <c r="H157" s="28">
        <v>49.391312599999999</v>
      </c>
      <c r="I157" s="28">
        <v>37.607826699999997</v>
      </c>
      <c r="J157" s="28">
        <v>976.19233099999997</v>
      </c>
      <c r="K157" s="28">
        <v>954.57438200000001</v>
      </c>
      <c r="L157" s="28">
        <v>5.4077355999999996</v>
      </c>
      <c r="M157" s="28">
        <v>102.63181299999999</v>
      </c>
      <c r="N157" s="28">
        <v>47.8360372</v>
      </c>
      <c r="O157" s="28">
        <v>1081.5471199999999</v>
      </c>
      <c r="P157" s="28">
        <v>918.45287900000005</v>
      </c>
    </row>
    <row r="158" spans="1:16" x14ac:dyDescent="0.25">
      <c r="A158" s="39">
        <v>0</v>
      </c>
      <c r="B158" s="39">
        <v>156</v>
      </c>
      <c r="C158" s="28">
        <v>12.5187878</v>
      </c>
      <c r="D158" s="28">
        <v>6.0837314400000002</v>
      </c>
      <c r="E158" s="28">
        <v>28.133880000000001</v>
      </c>
      <c r="F158" s="28">
        <v>20.724985799999999</v>
      </c>
      <c r="G158" s="28">
        <v>19.027289100000001</v>
      </c>
      <c r="H158" s="28">
        <v>49.3448943</v>
      </c>
      <c r="I158" s="28">
        <v>37.780772399999996</v>
      </c>
      <c r="J158" s="28">
        <v>974.75138400000003</v>
      </c>
      <c r="K158" s="28">
        <v>954.05618100000004</v>
      </c>
      <c r="L158" s="28">
        <v>5.4679845599999997</v>
      </c>
      <c r="M158" s="28">
        <v>103.044027</v>
      </c>
      <c r="N158" s="28">
        <v>48.053362300000003</v>
      </c>
      <c r="O158" s="28">
        <v>1093.59691</v>
      </c>
      <c r="P158" s="28">
        <v>906.40308900000002</v>
      </c>
    </row>
    <row r="159" spans="1:16" x14ac:dyDescent="0.25">
      <c r="A159" s="39">
        <v>0</v>
      </c>
      <c r="B159" s="39">
        <v>157</v>
      </c>
      <c r="C159" s="28">
        <v>12.5994072</v>
      </c>
      <c r="D159" s="28">
        <v>6.1459089999999996</v>
      </c>
      <c r="E159" s="28">
        <v>27.888626800000001</v>
      </c>
      <c r="F159" s="28">
        <v>20.856116100000001</v>
      </c>
      <c r="G159" s="28">
        <v>19.184730099999999</v>
      </c>
      <c r="H159" s="28">
        <v>50.125264700000002</v>
      </c>
      <c r="I159" s="28">
        <v>37.917809200000001</v>
      </c>
      <c r="J159" s="28">
        <v>974.88403000000005</v>
      </c>
      <c r="K159" s="28">
        <v>956.48122799999999</v>
      </c>
      <c r="L159" s="28">
        <v>5.4216363400000001</v>
      </c>
      <c r="M159" s="28">
        <v>103.58987</v>
      </c>
      <c r="N159" s="28">
        <v>48.163020299999999</v>
      </c>
      <c r="O159" s="28">
        <v>1084.32727</v>
      </c>
      <c r="P159" s="28">
        <v>915.672732</v>
      </c>
    </row>
    <row r="160" spans="1:16" x14ac:dyDescent="0.25">
      <c r="A160" s="39">
        <v>0</v>
      </c>
      <c r="B160" s="39">
        <v>158</v>
      </c>
      <c r="C160" s="28">
        <v>12.7536772</v>
      </c>
      <c r="D160" s="28">
        <v>6.1844061699999999</v>
      </c>
      <c r="E160" s="28">
        <v>28.0379881</v>
      </c>
      <c r="F160" s="28">
        <v>20.768227700000001</v>
      </c>
      <c r="G160" s="28">
        <v>19.409582700000001</v>
      </c>
      <c r="H160" s="28">
        <v>49.5530124</v>
      </c>
      <c r="I160" s="28">
        <v>38.171121300000003</v>
      </c>
      <c r="J160" s="28">
        <v>973.36073799999997</v>
      </c>
      <c r="K160" s="28">
        <v>952.92289000000005</v>
      </c>
      <c r="L160" s="28">
        <v>5.3999429299999999</v>
      </c>
      <c r="M160" s="28">
        <v>103.915836</v>
      </c>
      <c r="N160" s="28">
        <v>47.233465199999998</v>
      </c>
      <c r="O160" s="28">
        <v>1079.9885899999999</v>
      </c>
      <c r="P160" s="28">
        <v>920.01141299999995</v>
      </c>
    </row>
    <row r="161" spans="1:16" x14ac:dyDescent="0.25">
      <c r="A161" s="39">
        <v>0</v>
      </c>
      <c r="B161" s="39">
        <v>159</v>
      </c>
      <c r="C161" s="28">
        <v>12.6864071</v>
      </c>
      <c r="D161" s="28">
        <v>6.26413522</v>
      </c>
      <c r="E161" s="28">
        <v>28.032293299999999</v>
      </c>
      <c r="F161" s="28">
        <v>20.734187899999998</v>
      </c>
      <c r="G161" s="28">
        <v>19.270735299999998</v>
      </c>
      <c r="H161" s="28">
        <v>49.255952800000003</v>
      </c>
      <c r="I161" s="28">
        <v>38.221532600000003</v>
      </c>
      <c r="J161" s="28">
        <v>974.147156</v>
      </c>
      <c r="K161" s="28">
        <v>952.72977100000003</v>
      </c>
      <c r="L161" s="28">
        <v>5.3716877099999998</v>
      </c>
      <c r="M161" s="28">
        <v>104.11434199999999</v>
      </c>
      <c r="N161" s="28">
        <v>47.279664500000003</v>
      </c>
      <c r="O161" s="28">
        <v>1074.33754</v>
      </c>
      <c r="P161" s="28">
        <v>925.66245700000002</v>
      </c>
    </row>
    <row r="162" spans="1:16" x14ac:dyDescent="0.25">
      <c r="A162" s="39">
        <v>0</v>
      </c>
      <c r="B162" s="39">
        <v>160</v>
      </c>
      <c r="C162" s="28">
        <v>12.761070500000001</v>
      </c>
      <c r="D162" s="28">
        <v>6.2584573900000002</v>
      </c>
      <c r="E162" s="28">
        <v>28.275867600000002</v>
      </c>
      <c r="F162" s="28">
        <v>20.647345699999999</v>
      </c>
      <c r="G162" s="28">
        <v>19.071612200000001</v>
      </c>
      <c r="H162" s="28">
        <v>49.120845099999997</v>
      </c>
      <c r="I162" s="28">
        <v>37.783642100000002</v>
      </c>
      <c r="J162" s="28">
        <v>973.36534300000005</v>
      </c>
      <c r="K162" s="28">
        <v>957.58076400000004</v>
      </c>
      <c r="L162" s="28">
        <v>5.3696404199999996</v>
      </c>
      <c r="M162" s="28">
        <v>104.275565</v>
      </c>
      <c r="N162" s="28">
        <v>47.491993100000002</v>
      </c>
      <c r="O162" s="28">
        <v>1073.9280799999999</v>
      </c>
      <c r="P162" s="28">
        <v>926.07191699999998</v>
      </c>
    </row>
    <row r="163" spans="1:16" x14ac:dyDescent="0.25">
      <c r="A163" s="39">
        <v>0</v>
      </c>
      <c r="B163" s="39">
        <v>161</v>
      </c>
      <c r="C163" s="28">
        <v>12.745598299999999</v>
      </c>
      <c r="D163" s="28">
        <v>6.3209536699999997</v>
      </c>
      <c r="E163" s="28">
        <v>28.335729300000001</v>
      </c>
      <c r="F163" s="28">
        <v>20.464675499999998</v>
      </c>
      <c r="G163" s="28">
        <v>19.218677899999999</v>
      </c>
      <c r="H163" s="28">
        <v>49.218031699999997</v>
      </c>
      <c r="I163" s="28">
        <v>38.1546819</v>
      </c>
      <c r="J163" s="28">
        <v>974.26932199999999</v>
      </c>
      <c r="K163" s="28">
        <v>957.98138800000004</v>
      </c>
      <c r="L163" s="28">
        <v>5.3752209400000002</v>
      </c>
      <c r="M163" s="28">
        <v>104.454916</v>
      </c>
      <c r="N163" s="28">
        <v>47.772940599999998</v>
      </c>
      <c r="O163" s="28">
        <v>1075.0441900000001</v>
      </c>
      <c r="P163" s="28">
        <v>924.95581200000004</v>
      </c>
    </row>
    <row r="164" spans="1:16" x14ac:dyDescent="0.25">
      <c r="A164" s="39">
        <v>0</v>
      </c>
      <c r="B164" s="39">
        <v>162</v>
      </c>
      <c r="C164" s="28">
        <v>12.7261427</v>
      </c>
      <c r="D164" s="28">
        <v>6.2539199999999999</v>
      </c>
      <c r="E164" s="28">
        <v>28.260013900000001</v>
      </c>
      <c r="F164" s="28">
        <v>20.277772899999999</v>
      </c>
      <c r="G164" s="28">
        <v>18.970293900000001</v>
      </c>
      <c r="H164" s="28">
        <v>49.482792799999999</v>
      </c>
      <c r="I164" s="28">
        <v>37.953259600000003</v>
      </c>
      <c r="J164" s="28">
        <v>974.27514499999995</v>
      </c>
      <c r="K164" s="28">
        <v>951.681737</v>
      </c>
      <c r="L164" s="28">
        <v>5.3940509600000004</v>
      </c>
      <c r="M164" s="28">
        <v>103.742738</v>
      </c>
      <c r="N164" s="28">
        <v>47.806590999999997</v>
      </c>
      <c r="O164" s="28">
        <v>1078.8101899999999</v>
      </c>
      <c r="P164" s="28">
        <v>921.18980799999997</v>
      </c>
    </row>
    <row r="165" spans="1:16" x14ac:dyDescent="0.25">
      <c r="A165" s="39">
        <v>0</v>
      </c>
      <c r="B165" s="39">
        <v>163</v>
      </c>
      <c r="C165" s="28">
        <v>12.8602717</v>
      </c>
      <c r="D165" s="28">
        <v>6.2216608100000004</v>
      </c>
      <c r="E165" s="28">
        <v>28.2234959</v>
      </c>
      <c r="F165" s="28">
        <v>20.217711699999999</v>
      </c>
      <c r="G165" s="28">
        <v>18.856777300000001</v>
      </c>
      <c r="H165" s="28">
        <v>49.174241500000001</v>
      </c>
      <c r="I165" s="28">
        <v>37.755251299999998</v>
      </c>
      <c r="J165" s="28">
        <v>976.33048399999996</v>
      </c>
      <c r="K165" s="28">
        <v>957.32311700000002</v>
      </c>
      <c r="L165" s="28">
        <v>5.4457194099999997</v>
      </c>
      <c r="M165" s="28">
        <v>103.608684</v>
      </c>
      <c r="N165" s="28">
        <v>47.962573900000002</v>
      </c>
      <c r="O165" s="28">
        <v>1089.1438800000001</v>
      </c>
      <c r="P165" s="28">
        <v>910.85611800000004</v>
      </c>
    </row>
    <row r="166" spans="1:16" x14ac:dyDescent="0.25">
      <c r="A166" s="39">
        <v>0</v>
      </c>
      <c r="B166" s="39">
        <v>164</v>
      </c>
      <c r="C166" s="28">
        <v>12.8343305</v>
      </c>
      <c r="D166" s="28">
        <v>6.2513637600000003</v>
      </c>
      <c r="E166" s="28">
        <v>28.1998085</v>
      </c>
      <c r="F166" s="28">
        <v>20.2120107</v>
      </c>
      <c r="G166" s="28">
        <v>18.6146232</v>
      </c>
      <c r="H166" s="28">
        <v>48.965226199999996</v>
      </c>
      <c r="I166" s="28">
        <v>37.593677700000001</v>
      </c>
      <c r="J166" s="28">
        <v>975.04300799999999</v>
      </c>
      <c r="K166" s="28">
        <v>951.97239000000002</v>
      </c>
      <c r="L166" s="28">
        <v>5.47228504</v>
      </c>
      <c r="M166" s="28">
        <v>103.313028</v>
      </c>
      <c r="N166" s="28">
        <v>48.609904299999997</v>
      </c>
      <c r="O166" s="28">
        <v>1094.4570100000001</v>
      </c>
      <c r="P166" s="28">
        <v>905.54299200000003</v>
      </c>
    </row>
    <row r="167" spans="1:16" x14ac:dyDescent="0.25">
      <c r="A167" s="39">
        <v>0</v>
      </c>
      <c r="B167" s="39">
        <v>165</v>
      </c>
      <c r="C167" s="28">
        <v>12.878421899999999</v>
      </c>
      <c r="D167" s="28">
        <v>6.2113945099999999</v>
      </c>
      <c r="E167" s="28">
        <v>28.0491432</v>
      </c>
      <c r="F167" s="28">
        <v>20.191368400000002</v>
      </c>
      <c r="G167" s="28">
        <v>18.631338100000001</v>
      </c>
      <c r="H167" s="28">
        <v>48.185313800000003</v>
      </c>
      <c r="I167" s="28">
        <v>37.091144</v>
      </c>
      <c r="J167" s="28">
        <v>977.42766400000005</v>
      </c>
      <c r="K167" s="28">
        <v>950.26182300000005</v>
      </c>
      <c r="L167" s="28">
        <v>5.4504550800000002</v>
      </c>
      <c r="M167" s="28">
        <v>102.28379099999999</v>
      </c>
      <c r="N167" s="28">
        <v>48.259420400000003</v>
      </c>
      <c r="O167" s="28">
        <v>1090.0910200000001</v>
      </c>
      <c r="P167" s="28">
        <v>909.90898400000003</v>
      </c>
    </row>
    <row r="168" spans="1:16" x14ac:dyDescent="0.25">
      <c r="A168" s="39">
        <v>0</v>
      </c>
      <c r="B168" s="39">
        <v>166</v>
      </c>
      <c r="C168" s="28">
        <v>12.7925612</v>
      </c>
      <c r="D168" s="28">
        <v>6.2134166799999999</v>
      </c>
      <c r="E168" s="28">
        <v>27.452576499999999</v>
      </c>
      <c r="F168" s="28">
        <v>19.913968799999999</v>
      </c>
      <c r="G168" s="28">
        <v>18.664535999999998</v>
      </c>
      <c r="H168" s="28">
        <v>48.098576000000001</v>
      </c>
      <c r="I168" s="28">
        <v>36.583064899999997</v>
      </c>
      <c r="J168" s="28">
        <v>977.08558700000003</v>
      </c>
      <c r="K168" s="28">
        <v>953.75890000000004</v>
      </c>
      <c r="L168" s="28">
        <v>5.4256201800000001</v>
      </c>
      <c r="M168" s="28">
        <v>101.550861</v>
      </c>
      <c r="N168" s="28">
        <v>48.3758336</v>
      </c>
      <c r="O168" s="28">
        <v>1085.1240399999999</v>
      </c>
      <c r="P168" s="28">
        <v>914.87596399999995</v>
      </c>
    </row>
    <row r="169" spans="1:16" x14ac:dyDescent="0.25">
      <c r="A169" s="39">
        <v>0</v>
      </c>
      <c r="B169" s="39">
        <v>167</v>
      </c>
      <c r="C169" s="28">
        <v>12.8055062</v>
      </c>
      <c r="D169" s="28">
        <v>6.20248344</v>
      </c>
      <c r="E169" s="28">
        <v>27.330153200000002</v>
      </c>
      <c r="F169" s="28">
        <v>19.854193299999999</v>
      </c>
      <c r="G169" s="28">
        <v>18.952491899999998</v>
      </c>
      <c r="H169" s="28">
        <v>48.181908700000001</v>
      </c>
      <c r="I169" s="28">
        <v>36.813406100000002</v>
      </c>
      <c r="J169" s="28">
        <v>978.57651799999996</v>
      </c>
      <c r="K169" s="28">
        <v>958.72547599999996</v>
      </c>
      <c r="L169" s="28">
        <v>5.4619199299999996</v>
      </c>
      <c r="M169" s="28">
        <v>101.79673</v>
      </c>
      <c r="N169" s="28">
        <v>49.018745799999998</v>
      </c>
      <c r="O169" s="28">
        <v>1092.38399</v>
      </c>
      <c r="P169" s="28">
        <v>907.61601499999995</v>
      </c>
    </row>
    <row r="170" spans="1:16" x14ac:dyDescent="0.25">
      <c r="A170" s="39">
        <v>0</v>
      </c>
      <c r="B170" s="39">
        <v>168</v>
      </c>
      <c r="C170" s="28">
        <v>12.736955099999999</v>
      </c>
      <c r="D170" s="28">
        <v>6.1960481300000003</v>
      </c>
      <c r="E170" s="28">
        <v>27.1852041</v>
      </c>
      <c r="F170" s="28">
        <v>19.898477700000001</v>
      </c>
      <c r="G170" s="28">
        <v>18.922588000000001</v>
      </c>
      <c r="H170" s="28">
        <v>48.061039899999997</v>
      </c>
      <c r="I170" s="28">
        <v>36.779266700000001</v>
      </c>
      <c r="J170" s="28">
        <v>977.56128100000001</v>
      </c>
      <c r="K170" s="28">
        <v>957.21865200000002</v>
      </c>
      <c r="L170" s="28">
        <v>5.5141735299999999</v>
      </c>
      <c r="M170" s="28">
        <v>101.58788199999999</v>
      </c>
      <c r="N170" s="28">
        <v>48.752926899999999</v>
      </c>
      <c r="O170" s="28">
        <v>1102.8347100000001</v>
      </c>
      <c r="P170" s="28">
        <v>897.16529400000002</v>
      </c>
    </row>
    <row r="171" spans="1:16" x14ac:dyDescent="0.25">
      <c r="A171" s="39">
        <v>0</v>
      </c>
      <c r="B171" s="39">
        <v>169</v>
      </c>
      <c r="C171" s="28">
        <v>12.8355365</v>
      </c>
      <c r="D171" s="28">
        <v>6.19536876</v>
      </c>
      <c r="E171" s="28">
        <v>27.261846599999998</v>
      </c>
      <c r="F171" s="28">
        <v>19.872364600000001</v>
      </c>
      <c r="G171" s="28">
        <v>19.0383019</v>
      </c>
      <c r="H171" s="28">
        <v>48.490482700000001</v>
      </c>
      <c r="I171" s="28">
        <v>36.712056599999997</v>
      </c>
      <c r="J171" s="28">
        <v>978.76653699999997</v>
      </c>
      <c r="K171" s="28">
        <v>960.16519600000004</v>
      </c>
      <c r="L171" s="28">
        <v>5.3996294899999997</v>
      </c>
      <c r="M171" s="28">
        <v>101.758748</v>
      </c>
      <c r="N171" s="28">
        <v>49.0822492</v>
      </c>
      <c r="O171" s="28">
        <v>1079.9259</v>
      </c>
      <c r="P171" s="28">
        <v>920.07410200000004</v>
      </c>
    </row>
    <row r="172" spans="1:16" x14ac:dyDescent="0.25">
      <c r="A172" s="39">
        <v>0</v>
      </c>
      <c r="B172" s="39">
        <v>170</v>
      </c>
      <c r="C172" s="28">
        <v>12.7024401</v>
      </c>
      <c r="D172" s="28">
        <v>6.1640840600000004</v>
      </c>
      <c r="E172" s="28">
        <v>27.3284983</v>
      </c>
      <c r="F172" s="28">
        <v>19.841444200000002</v>
      </c>
      <c r="G172" s="28">
        <v>18.928838899999999</v>
      </c>
      <c r="H172" s="28">
        <v>48.418484999999997</v>
      </c>
      <c r="I172" s="28">
        <v>37.063466900000002</v>
      </c>
      <c r="J172" s="28">
        <v>978.11528499999997</v>
      </c>
      <c r="K172" s="28">
        <v>961.35685000000001</v>
      </c>
      <c r="L172" s="28">
        <v>5.4873863800000002</v>
      </c>
      <c r="M172" s="28">
        <v>101.655114</v>
      </c>
      <c r="N172" s="28">
        <v>49.101724900000001</v>
      </c>
      <c r="O172" s="28">
        <v>1097.4772800000001</v>
      </c>
      <c r="P172" s="28">
        <v>902.52272400000004</v>
      </c>
    </row>
    <row r="173" spans="1:16" x14ac:dyDescent="0.25">
      <c r="A173" s="39">
        <v>0</v>
      </c>
      <c r="B173" s="39">
        <v>171</v>
      </c>
      <c r="C173" s="28">
        <v>12.556037999999999</v>
      </c>
      <c r="D173" s="28">
        <v>6.13763725</v>
      </c>
      <c r="E173" s="28">
        <v>27.5171195</v>
      </c>
      <c r="F173" s="28">
        <v>19.992647699999999</v>
      </c>
      <c r="G173" s="28">
        <v>18.899307199999999</v>
      </c>
      <c r="H173" s="28">
        <v>48.293086600000002</v>
      </c>
      <c r="I173" s="28">
        <v>37.0235378</v>
      </c>
      <c r="J173" s="28">
        <v>979.68054199999995</v>
      </c>
      <c r="K173" s="28">
        <v>965.61630000000002</v>
      </c>
      <c r="L173" s="28">
        <v>5.5033732100000003</v>
      </c>
      <c r="M173" s="28">
        <v>101.748576</v>
      </c>
      <c r="N173" s="28">
        <v>49.0770695</v>
      </c>
      <c r="O173" s="28">
        <v>1100.67464</v>
      </c>
      <c r="P173" s="28">
        <v>899.32535900000005</v>
      </c>
    </row>
    <row r="174" spans="1:16" x14ac:dyDescent="0.25">
      <c r="A174" s="39">
        <v>0</v>
      </c>
      <c r="B174" s="39">
        <v>172</v>
      </c>
      <c r="C174" s="28">
        <v>12.5698972</v>
      </c>
      <c r="D174" s="28">
        <v>6.1233969300000002</v>
      </c>
      <c r="E174" s="28">
        <v>27.493241399999999</v>
      </c>
      <c r="F174" s="28">
        <v>19.9517135</v>
      </c>
      <c r="G174" s="28">
        <v>18.8867999</v>
      </c>
      <c r="H174" s="28">
        <v>48.889538000000002</v>
      </c>
      <c r="I174" s="28">
        <v>37.071453900000002</v>
      </c>
      <c r="J174" s="28">
        <v>978.58804499999997</v>
      </c>
      <c r="K174" s="28">
        <v>968.26541999999995</v>
      </c>
      <c r="L174" s="28">
        <v>5.4946497399999998</v>
      </c>
      <c r="M174" s="28">
        <v>102.24534800000001</v>
      </c>
      <c r="N174" s="28">
        <v>49.1402796</v>
      </c>
      <c r="O174" s="28">
        <v>1098.92995</v>
      </c>
      <c r="P174" s="28">
        <v>901.07005100000003</v>
      </c>
    </row>
    <row r="175" spans="1:16" x14ac:dyDescent="0.25">
      <c r="A175" s="39">
        <v>0</v>
      </c>
      <c r="B175" s="39">
        <v>173</v>
      </c>
      <c r="C175" s="28">
        <v>12.530179199999999</v>
      </c>
      <c r="D175" s="28">
        <v>6.0675530599999998</v>
      </c>
      <c r="E175" s="28">
        <v>27.6404554</v>
      </c>
      <c r="F175" s="28">
        <v>19.7994564</v>
      </c>
      <c r="G175" s="28">
        <v>18.816230699999998</v>
      </c>
      <c r="H175" s="28">
        <v>48.708869800000002</v>
      </c>
      <c r="I175" s="28">
        <v>37.0176382</v>
      </c>
      <c r="J175" s="28">
        <v>981.03795600000001</v>
      </c>
      <c r="K175" s="28">
        <v>967.24408000000005</v>
      </c>
      <c r="L175" s="28">
        <v>5.4699706299999997</v>
      </c>
      <c r="M175" s="28">
        <v>101.429552</v>
      </c>
      <c r="N175" s="28">
        <v>49.711716799999998</v>
      </c>
      <c r="O175" s="28">
        <v>1093.99413</v>
      </c>
      <c r="P175" s="28">
        <v>906.00587399999995</v>
      </c>
    </row>
    <row r="176" spans="1:16" x14ac:dyDescent="0.25">
      <c r="A176" s="39">
        <v>0</v>
      </c>
      <c r="B176" s="39">
        <v>174</v>
      </c>
      <c r="C176" s="28">
        <v>12.5308052</v>
      </c>
      <c r="D176" s="28">
        <v>6.08514979</v>
      </c>
      <c r="E176" s="28">
        <v>27.7880024</v>
      </c>
      <c r="F176" s="28">
        <v>19.8439744</v>
      </c>
      <c r="G176" s="28">
        <v>19.1099803</v>
      </c>
      <c r="H176" s="28">
        <v>49.315557800000001</v>
      </c>
      <c r="I176" s="28">
        <v>37.346565400000003</v>
      </c>
      <c r="J176" s="28">
        <v>979.241849</v>
      </c>
      <c r="K176" s="28">
        <v>967.86955699999999</v>
      </c>
      <c r="L176" s="28">
        <v>5.4792514499999996</v>
      </c>
      <c r="M176" s="28">
        <v>101.57342800000001</v>
      </c>
      <c r="N176" s="28">
        <v>49.765528500000002</v>
      </c>
      <c r="O176" s="28">
        <v>1095.8502900000001</v>
      </c>
      <c r="P176" s="28">
        <v>904.14971100000002</v>
      </c>
    </row>
    <row r="177" spans="1:16" x14ac:dyDescent="0.25">
      <c r="A177" s="39">
        <v>0</v>
      </c>
      <c r="B177" s="39">
        <v>175</v>
      </c>
      <c r="C177" s="28">
        <v>12.52688</v>
      </c>
      <c r="D177" s="28">
        <v>6.0823653000000002</v>
      </c>
      <c r="E177" s="28">
        <v>27.871890400000002</v>
      </c>
      <c r="F177" s="28">
        <v>19.938562699999999</v>
      </c>
      <c r="G177" s="28">
        <v>19.0647783</v>
      </c>
      <c r="H177" s="28">
        <v>49.093105799999996</v>
      </c>
      <c r="I177" s="28">
        <v>37.2766977</v>
      </c>
      <c r="J177" s="28">
        <v>980.54174</v>
      </c>
      <c r="K177" s="28">
        <v>967.42820400000005</v>
      </c>
      <c r="L177" s="28">
        <v>5.5508945299999999</v>
      </c>
      <c r="M177" s="28">
        <v>101.98394500000001</v>
      </c>
      <c r="N177" s="28">
        <v>50.1952365</v>
      </c>
      <c r="O177" s="28">
        <v>1110.1789100000001</v>
      </c>
      <c r="P177" s="28">
        <v>889.82109400000002</v>
      </c>
    </row>
    <row r="178" spans="1:16" x14ac:dyDescent="0.25">
      <c r="A178" s="39">
        <v>0</v>
      </c>
      <c r="B178" s="39">
        <v>176</v>
      </c>
      <c r="C178" s="28">
        <v>12.632288300000001</v>
      </c>
      <c r="D178" s="28">
        <v>6.0681317000000004</v>
      </c>
      <c r="E178" s="28">
        <v>28.0922871</v>
      </c>
      <c r="F178" s="28">
        <v>20.252269999999999</v>
      </c>
      <c r="G178" s="28">
        <v>19.022186600000001</v>
      </c>
      <c r="H178" s="28">
        <v>48.8891414</v>
      </c>
      <c r="I178" s="28">
        <v>37.302717199999996</v>
      </c>
      <c r="J178" s="28">
        <v>979.08344799999998</v>
      </c>
      <c r="K178" s="28">
        <v>970.14700800000003</v>
      </c>
      <c r="L178" s="28">
        <v>5.5561621199999998</v>
      </c>
      <c r="M178" s="28">
        <v>102.638588</v>
      </c>
      <c r="N178" s="28">
        <v>50.221490000000003</v>
      </c>
      <c r="O178" s="28">
        <v>1111.23242</v>
      </c>
      <c r="P178" s="28">
        <v>888.76757599999996</v>
      </c>
    </row>
    <row r="179" spans="1:16" x14ac:dyDescent="0.25">
      <c r="A179" s="39">
        <v>0</v>
      </c>
      <c r="B179" s="39">
        <v>177</v>
      </c>
      <c r="C179" s="28">
        <v>12.6493947</v>
      </c>
      <c r="D179" s="28">
        <v>6.06268384</v>
      </c>
      <c r="E179" s="28">
        <v>28.065273399999999</v>
      </c>
      <c r="F179" s="28">
        <v>20.343419399999998</v>
      </c>
      <c r="G179" s="28">
        <v>19.0911656</v>
      </c>
      <c r="H179" s="28">
        <v>49.005454499999999</v>
      </c>
      <c r="I179" s="28">
        <v>37.819296000000001</v>
      </c>
      <c r="J179" s="28">
        <v>980.07329300000004</v>
      </c>
      <c r="K179" s="28">
        <v>972.58241799999996</v>
      </c>
      <c r="L179" s="28">
        <v>5.5589064199999996</v>
      </c>
      <c r="M179" s="28">
        <v>102.806387</v>
      </c>
      <c r="N179" s="28">
        <v>49.801168199999999</v>
      </c>
      <c r="O179" s="28">
        <v>1111.7812799999999</v>
      </c>
      <c r="P179" s="28">
        <v>888.21871699999997</v>
      </c>
    </row>
    <row r="180" spans="1:16" x14ac:dyDescent="0.25">
      <c r="A180" s="39">
        <v>0</v>
      </c>
      <c r="B180" s="39">
        <v>178</v>
      </c>
      <c r="C180" s="28">
        <v>12.6231761</v>
      </c>
      <c r="D180" s="28">
        <v>6.0092525500000002</v>
      </c>
      <c r="E180" s="28">
        <v>28.152385899999999</v>
      </c>
      <c r="F180" s="28">
        <v>20.468972600000001</v>
      </c>
      <c r="G180" s="28">
        <v>19.110719400000001</v>
      </c>
      <c r="H180" s="28">
        <v>49.571181199999998</v>
      </c>
      <c r="I180" s="28">
        <v>38.501928200000002</v>
      </c>
      <c r="J180" s="28">
        <v>979.09733100000005</v>
      </c>
      <c r="K180" s="28">
        <v>972.57959800000003</v>
      </c>
      <c r="L180" s="28">
        <v>5.5425762499999998</v>
      </c>
      <c r="M180" s="28">
        <v>103.261094</v>
      </c>
      <c r="N180" s="28">
        <v>49.699660600000001</v>
      </c>
      <c r="O180" s="28">
        <v>1108.5152499999999</v>
      </c>
      <c r="P180" s="28">
        <v>891.48474999999996</v>
      </c>
    </row>
    <row r="181" spans="1:16" x14ac:dyDescent="0.25">
      <c r="A181" s="39">
        <v>0</v>
      </c>
      <c r="B181" s="39">
        <v>179</v>
      </c>
      <c r="C181" s="28">
        <v>12.571411100000001</v>
      </c>
      <c r="D181" s="28">
        <v>6.0438731800000003</v>
      </c>
      <c r="E181" s="28">
        <v>27.987545000000001</v>
      </c>
      <c r="F181" s="28">
        <v>20.619679099999999</v>
      </c>
      <c r="G181" s="28">
        <v>19.235845099999999</v>
      </c>
      <c r="H181" s="28">
        <v>49.817824100000003</v>
      </c>
      <c r="I181" s="28">
        <v>38.428625199999999</v>
      </c>
      <c r="J181" s="28">
        <v>979.64404000000002</v>
      </c>
      <c r="K181" s="28">
        <v>973.63590099999999</v>
      </c>
      <c r="L181" s="28">
        <v>5.4989530699999998</v>
      </c>
      <c r="M181" s="28">
        <v>103.476578</v>
      </c>
      <c r="N181" s="28">
        <v>48.900148100000003</v>
      </c>
      <c r="O181" s="28">
        <v>1099.79061</v>
      </c>
      <c r="P181" s="28">
        <v>900.209385</v>
      </c>
    </row>
    <row r="182" spans="1:16" x14ac:dyDescent="0.25">
      <c r="A182" s="39">
        <v>0</v>
      </c>
      <c r="B182" s="39">
        <v>180</v>
      </c>
      <c r="C182" s="28">
        <v>12.4181507</v>
      </c>
      <c r="D182" s="28">
        <v>6.0564579299999997</v>
      </c>
      <c r="E182" s="28">
        <v>27.673860600000001</v>
      </c>
      <c r="F182" s="28">
        <v>20.621126400000001</v>
      </c>
      <c r="G182" s="28">
        <v>18.954506899999998</v>
      </c>
      <c r="H182" s="28">
        <v>48.921195300000001</v>
      </c>
      <c r="I182" s="28">
        <v>38.034651599999997</v>
      </c>
      <c r="J182" s="28">
        <v>979.20107399999995</v>
      </c>
      <c r="K182" s="28">
        <v>965.21703600000001</v>
      </c>
      <c r="L182" s="28">
        <v>5.4677263800000002</v>
      </c>
      <c r="M182" s="28">
        <v>102.65163099999999</v>
      </c>
      <c r="N182" s="28">
        <v>47.835130499999998</v>
      </c>
      <c r="O182" s="28">
        <v>1093.54528</v>
      </c>
      <c r="P182" s="28">
        <v>906.45472400000006</v>
      </c>
    </row>
    <row r="183" spans="1:16" x14ac:dyDescent="0.25">
      <c r="A183" s="39">
        <v>0</v>
      </c>
      <c r="B183" s="39">
        <v>181</v>
      </c>
      <c r="C183" s="28">
        <v>12.5198426</v>
      </c>
      <c r="D183" s="28">
        <v>6.0516881900000001</v>
      </c>
      <c r="E183" s="28">
        <v>27.594614700000001</v>
      </c>
      <c r="F183" s="28">
        <v>20.805357600000001</v>
      </c>
      <c r="G183" s="28">
        <v>18.907831900000001</v>
      </c>
      <c r="H183" s="28">
        <v>48.822371799999999</v>
      </c>
      <c r="I183" s="28">
        <v>38.364673500000002</v>
      </c>
      <c r="J183" s="28">
        <v>980.09755900000005</v>
      </c>
      <c r="K183" s="28">
        <v>970.29566499999999</v>
      </c>
      <c r="L183" s="28">
        <v>5.4514887500000002</v>
      </c>
      <c r="M183" s="28">
        <v>102.62712999999999</v>
      </c>
      <c r="N183" s="28">
        <v>47.669766500000001</v>
      </c>
      <c r="O183" s="28">
        <v>1090.29775</v>
      </c>
      <c r="P183" s="28">
        <v>909.70224900000005</v>
      </c>
    </row>
    <row r="184" spans="1:16" x14ac:dyDescent="0.25">
      <c r="A184" s="39">
        <v>0</v>
      </c>
      <c r="B184" s="39">
        <v>182</v>
      </c>
      <c r="C184" s="28">
        <v>12.4987406</v>
      </c>
      <c r="D184" s="28">
        <v>6.0059966500000002</v>
      </c>
      <c r="E184" s="28">
        <v>27.4052547</v>
      </c>
      <c r="F184" s="28">
        <v>20.713057800000001</v>
      </c>
      <c r="G184" s="28">
        <v>18.928743000000001</v>
      </c>
      <c r="H184" s="28">
        <v>48.707571100000003</v>
      </c>
      <c r="I184" s="28">
        <v>38.429389299999997</v>
      </c>
      <c r="J184" s="28">
        <v>979.92785700000002</v>
      </c>
      <c r="K184" s="28">
        <v>970.07993099999999</v>
      </c>
      <c r="L184" s="28">
        <v>5.4647622800000004</v>
      </c>
      <c r="M184" s="28">
        <v>102.40127699999999</v>
      </c>
      <c r="N184" s="28">
        <v>48.506366999999997</v>
      </c>
      <c r="O184" s="28">
        <v>1092.95246</v>
      </c>
      <c r="P184" s="28">
        <v>907.04754400000002</v>
      </c>
    </row>
    <row r="185" spans="1:16" x14ac:dyDescent="0.25">
      <c r="A185" s="39">
        <v>0</v>
      </c>
      <c r="B185" s="39">
        <v>183</v>
      </c>
      <c r="C185" s="28">
        <v>12.525532200000001</v>
      </c>
      <c r="D185" s="28">
        <v>6.0027468300000004</v>
      </c>
      <c r="E185" s="28">
        <v>27.271550600000001</v>
      </c>
      <c r="F185" s="28">
        <v>20.714777300000002</v>
      </c>
      <c r="G185" s="28">
        <v>18.8298557</v>
      </c>
      <c r="H185" s="28">
        <v>48.038289300000002</v>
      </c>
      <c r="I185" s="28">
        <v>37.933199700000003</v>
      </c>
      <c r="J185" s="28">
        <v>981.67644600000006</v>
      </c>
      <c r="K185" s="28">
        <v>975.04080799999997</v>
      </c>
      <c r="L185" s="28">
        <v>5.4953303599999996</v>
      </c>
      <c r="M185" s="28">
        <v>101.751538</v>
      </c>
      <c r="N185" s="28">
        <v>48.6567547</v>
      </c>
      <c r="O185" s="28">
        <v>1099.0660700000001</v>
      </c>
      <c r="P185" s="28">
        <v>900.93392800000004</v>
      </c>
    </row>
    <row r="186" spans="1:16" x14ac:dyDescent="0.25">
      <c r="A186" s="39">
        <v>0</v>
      </c>
      <c r="B186" s="39">
        <v>184</v>
      </c>
      <c r="C186" s="28">
        <v>12.5087419</v>
      </c>
      <c r="D186" s="28">
        <v>6.0459895000000001</v>
      </c>
      <c r="E186" s="28">
        <v>27.241745000000002</v>
      </c>
      <c r="F186" s="28">
        <v>20.641043199999999</v>
      </c>
      <c r="G186" s="28">
        <v>18.778064799999999</v>
      </c>
      <c r="H186" s="28">
        <v>49.096674700000001</v>
      </c>
      <c r="I186" s="28">
        <v>38.0127904</v>
      </c>
      <c r="J186" s="28">
        <v>979.96755599999995</v>
      </c>
      <c r="K186" s="28">
        <v>969.98319600000002</v>
      </c>
      <c r="L186" s="28">
        <v>5.58195745</v>
      </c>
      <c r="M186" s="28">
        <v>102.48025699999999</v>
      </c>
      <c r="N186" s="28">
        <v>48.5511239</v>
      </c>
      <c r="O186" s="28">
        <v>1116.39149</v>
      </c>
      <c r="P186" s="28">
        <v>883.60851000000002</v>
      </c>
    </row>
    <row r="187" spans="1:16" x14ac:dyDescent="0.25">
      <c r="A187" s="39">
        <v>0</v>
      </c>
      <c r="B187" s="39">
        <v>185</v>
      </c>
      <c r="C187" s="28">
        <v>12.490135</v>
      </c>
      <c r="D187" s="28">
        <v>6.0318253300000002</v>
      </c>
      <c r="E187" s="28">
        <v>27.402524499999998</v>
      </c>
      <c r="F187" s="28">
        <v>20.698042999999998</v>
      </c>
      <c r="G187" s="28">
        <v>18.863818800000001</v>
      </c>
      <c r="H187" s="28">
        <v>48.704262100000001</v>
      </c>
      <c r="I187" s="28">
        <v>38.2217348</v>
      </c>
      <c r="J187" s="28">
        <v>981.36904600000003</v>
      </c>
      <c r="K187" s="28">
        <v>974.70523200000002</v>
      </c>
      <c r="L187" s="28">
        <v>5.6209778000000004</v>
      </c>
      <c r="M187" s="28">
        <v>102.625122</v>
      </c>
      <c r="N187" s="28">
        <v>49.202034300000001</v>
      </c>
      <c r="O187" s="28">
        <v>1124.1955599999999</v>
      </c>
      <c r="P187" s="28">
        <v>875.80444</v>
      </c>
    </row>
    <row r="188" spans="1:16" x14ac:dyDescent="0.25">
      <c r="A188" s="39">
        <v>0</v>
      </c>
      <c r="B188" s="39">
        <v>186</v>
      </c>
      <c r="C188" s="28">
        <v>12.5194589</v>
      </c>
      <c r="D188" s="28">
        <v>6.0290807300000004</v>
      </c>
      <c r="E188" s="28">
        <v>27.509613300000002</v>
      </c>
      <c r="F188" s="28">
        <v>20.6775579</v>
      </c>
      <c r="G188" s="28">
        <v>18.8803713</v>
      </c>
      <c r="H188" s="28">
        <v>48.125414399999997</v>
      </c>
      <c r="I188" s="28">
        <v>37.617655900000003</v>
      </c>
      <c r="J188" s="28">
        <v>981.05854799999997</v>
      </c>
      <c r="K188" s="28">
        <v>974.83104700000001</v>
      </c>
      <c r="L188" s="28">
        <v>5.5368362500000003</v>
      </c>
      <c r="M188" s="28">
        <v>102.37454200000001</v>
      </c>
      <c r="N188" s="28">
        <v>49.109372299999997</v>
      </c>
      <c r="O188" s="28">
        <v>1107.36725</v>
      </c>
      <c r="P188" s="28">
        <v>892.63274999999999</v>
      </c>
    </row>
    <row r="189" spans="1:16" x14ac:dyDescent="0.25">
      <c r="A189" s="39">
        <v>0</v>
      </c>
      <c r="B189" s="39">
        <v>187</v>
      </c>
      <c r="C189" s="28">
        <v>12.5823646</v>
      </c>
      <c r="D189" s="28">
        <v>6.0330023400000004</v>
      </c>
      <c r="E189" s="28">
        <v>27.573980599999999</v>
      </c>
      <c r="F189" s="28">
        <v>20.779937</v>
      </c>
      <c r="G189" s="28">
        <v>18.805736</v>
      </c>
      <c r="H189" s="28">
        <v>49.018940800000003</v>
      </c>
      <c r="I189" s="28">
        <v>37.106440999999997</v>
      </c>
      <c r="J189" s="28">
        <v>981.83776999999998</v>
      </c>
      <c r="K189" s="28">
        <v>973.49505799999997</v>
      </c>
      <c r="L189" s="28">
        <v>5.58305469</v>
      </c>
      <c r="M189" s="28">
        <v>102.35384500000001</v>
      </c>
      <c r="N189" s="28">
        <v>49.087928900000001</v>
      </c>
      <c r="O189" s="28">
        <v>1116.61094</v>
      </c>
      <c r="P189" s="28">
        <v>883.38906299999996</v>
      </c>
    </row>
    <row r="190" spans="1:16" x14ac:dyDescent="0.25">
      <c r="A190" s="39">
        <v>0</v>
      </c>
      <c r="B190" s="39">
        <v>188</v>
      </c>
      <c r="C190" s="28">
        <v>12.5096022</v>
      </c>
      <c r="D190" s="28">
        <v>6.0544236800000002</v>
      </c>
      <c r="E190" s="28">
        <v>27.451299500000001</v>
      </c>
      <c r="F190" s="28">
        <v>20.631181600000001</v>
      </c>
      <c r="G190" s="28">
        <v>18.8359396</v>
      </c>
      <c r="H190" s="28">
        <v>48.971639199999998</v>
      </c>
      <c r="I190" s="28">
        <v>37.144745800000003</v>
      </c>
      <c r="J190" s="28">
        <v>981.17827899999997</v>
      </c>
      <c r="K190" s="28">
        <v>974.28180599999996</v>
      </c>
      <c r="L190" s="28">
        <v>5.6277937199999997</v>
      </c>
      <c r="M190" s="28">
        <v>102.053303</v>
      </c>
      <c r="N190" s="28">
        <v>50.138369300000001</v>
      </c>
      <c r="O190" s="28">
        <v>1125.5587399999999</v>
      </c>
      <c r="P190" s="28">
        <v>874.44125599999995</v>
      </c>
    </row>
    <row r="191" spans="1:16" x14ac:dyDescent="0.25">
      <c r="A191" s="39">
        <v>0</v>
      </c>
      <c r="B191" s="39">
        <v>189</v>
      </c>
      <c r="C191" s="28">
        <v>12.6333137</v>
      </c>
      <c r="D191" s="28">
        <v>6.0113328399999997</v>
      </c>
      <c r="E191" s="28">
        <v>27.5066515</v>
      </c>
      <c r="F191" s="28">
        <v>20.6290519</v>
      </c>
      <c r="G191" s="28">
        <v>18.758701299999998</v>
      </c>
      <c r="H191" s="28">
        <v>49.716532800000003</v>
      </c>
      <c r="I191" s="28">
        <v>37.080154499999999</v>
      </c>
      <c r="J191" s="28">
        <v>982.57935999999995</v>
      </c>
      <c r="K191" s="28">
        <v>972.43409599999995</v>
      </c>
      <c r="L191" s="28">
        <v>5.6359625099999997</v>
      </c>
      <c r="M191" s="28">
        <v>102.159958</v>
      </c>
      <c r="N191" s="28">
        <v>49.929356300000002</v>
      </c>
      <c r="O191" s="28">
        <v>1127.1925000000001</v>
      </c>
      <c r="P191" s="28">
        <v>872.80749800000001</v>
      </c>
    </row>
    <row r="192" spans="1:16" x14ac:dyDescent="0.25">
      <c r="A192" s="39">
        <v>0</v>
      </c>
      <c r="B192" s="39">
        <v>190</v>
      </c>
      <c r="C192" s="28">
        <v>12.6488865</v>
      </c>
      <c r="D192" s="28">
        <v>6.0272247700000001</v>
      </c>
      <c r="E192" s="28">
        <v>27.3692198</v>
      </c>
      <c r="F192" s="28">
        <v>20.685419100000001</v>
      </c>
      <c r="G192" s="28">
        <v>18.757119299999999</v>
      </c>
      <c r="H192" s="28">
        <v>49.581990599999997</v>
      </c>
      <c r="I192" s="28">
        <v>36.677138800000002</v>
      </c>
      <c r="J192" s="28">
        <v>981.77474299999994</v>
      </c>
      <c r="K192" s="28">
        <v>975.06225099999995</v>
      </c>
      <c r="L192" s="28">
        <v>5.6330140899999996</v>
      </c>
      <c r="M192" s="28">
        <v>102.41985</v>
      </c>
      <c r="N192" s="28">
        <v>49.889351699999999</v>
      </c>
      <c r="O192" s="28">
        <v>1126.6028200000001</v>
      </c>
      <c r="P192" s="28">
        <v>873.39718200000004</v>
      </c>
    </row>
    <row r="193" spans="1:16" x14ac:dyDescent="0.25">
      <c r="A193" s="39">
        <v>0</v>
      </c>
      <c r="B193" s="39">
        <v>191</v>
      </c>
      <c r="C193" s="28">
        <v>12.559921599999999</v>
      </c>
      <c r="D193" s="28">
        <v>6.0691014499999998</v>
      </c>
      <c r="E193" s="28">
        <v>27.311163700000002</v>
      </c>
      <c r="F193" s="28">
        <v>20.728857399999999</v>
      </c>
      <c r="G193" s="28">
        <v>18.7238051</v>
      </c>
      <c r="H193" s="28">
        <v>48.537429600000003</v>
      </c>
      <c r="I193" s="28">
        <v>36.303733600000001</v>
      </c>
      <c r="J193" s="28">
        <v>982.984014</v>
      </c>
      <c r="K193" s="28">
        <v>973.67714799999999</v>
      </c>
      <c r="L193" s="28">
        <v>5.6240036800000004</v>
      </c>
      <c r="M193" s="28">
        <v>102.00438699999999</v>
      </c>
      <c r="N193" s="28">
        <v>49.895125</v>
      </c>
      <c r="O193" s="28">
        <v>1124.8007399999999</v>
      </c>
      <c r="P193" s="28">
        <v>875.19926499999997</v>
      </c>
    </row>
    <row r="194" spans="1:16" x14ac:dyDescent="0.25">
      <c r="A194" s="39">
        <v>0</v>
      </c>
      <c r="B194" s="39">
        <v>192</v>
      </c>
      <c r="C194" s="28">
        <v>12.641040200000001</v>
      </c>
      <c r="D194" s="28">
        <v>6.0224330400000001</v>
      </c>
      <c r="E194" s="28">
        <v>27.369421500000001</v>
      </c>
      <c r="F194" s="28">
        <v>20.766129500000002</v>
      </c>
      <c r="G194" s="28">
        <v>18.624683399999999</v>
      </c>
      <c r="H194" s="28">
        <v>47.848292899999997</v>
      </c>
      <c r="I194" s="28">
        <v>36.367217599999996</v>
      </c>
      <c r="J194" s="28">
        <v>983.04497100000003</v>
      </c>
      <c r="K194" s="28">
        <v>976.61328900000001</v>
      </c>
      <c r="L194" s="28">
        <v>5.6358786299999997</v>
      </c>
      <c r="M194" s="28">
        <v>101.905191</v>
      </c>
      <c r="N194" s="28">
        <v>49.5036846</v>
      </c>
      <c r="O194" s="28">
        <v>1127.1757299999999</v>
      </c>
      <c r="P194" s="28">
        <v>872.82427399999995</v>
      </c>
    </row>
    <row r="195" spans="1:16" x14ac:dyDescent="0.25">
      <c r="A195" s="39">
        <v>0</v>
      </c>
      <c r="B195" s="39">
        <v>193</v>
      </c>
      <c r="C195" s="28">
        <v>12.605631000000001</v>
      </c>
      <c r="D195" s="28">
        <v>6.0109932199999996</v>
      </c>
      <c r="E195" s="28">
        <v>27.5078979</v>
      </c>
      <c r="F195" s="28">
        <v>20.9067702</v>
      </c>
      <c r="G195" s="28">
        <v>18.710511400000001</v>
      </c>
      <c r="H195" s="28">
        <v>48.041441599999999</v>
      </c>
      <c r="I195" s="28">
        <v>36.613880299999998</v>
      </c>
      <c r="J195" s="28">
        <v>983.94853899999998</v>
      </c>
      <c r="K195" s="28">
        <v>971.21326999999997</v>
      </c>
      <c r="L195" s="28">
        <v>5.6235485699999996</v>
      </c>
      <c r="M195" s="28">
        <v>101.649818</v>
      </c>
      <c r="N195" s="28">
        <v>49.151042699999998</v>
      </c>
      <c r="O195" s="28">
        <v>1124.7097100000001</v>
      </c>
      <c r="P195" s="28">
        <v>875.29028600000004</v>
      </c>
    </row>
    <row r="196" spans="1:16" x14ac:dyDescent="0.25">
      <c r="A196" s="39">
        <v>0</v>
      </c>
      <c r="B196" s="39">
        <v>194</v>
      </c>
      <c r="C196" s="28">
        <v>12.612979599999999</v>
      </c>
      <c r="D196" s="28">
        <v>6.0067470900000002</v>
      </c>
      <c r="E196" s="28">
        <v>27.638815099999999</v>
      </c>
      <c r="F196" s="28">
        <v>21.102255400000001</v>
      </c>
      <c r="G196" s="28">
        <v>18.755963099999999</v>
      </c>
      <c r="H196" s="28">
        <v>48.285137400000004</v>
      </c>
      <c r="I196" s="28">
        <v>36.427278200000003</v>
      </c>
      <c r="J196" s="28">
        <v>982.99595099999999</v>
      </c>
      <c r="K196" s="28">
        <v>971.63122499999997</v>
      </c>
      <c r="L196" s="28">
        <v>5.6103000500000002</v>
      </c>
      <c r="M196" s="28">
        <v>101.284474</v>
      </c>
      <c r="N196" s="28">
        <v>49.527188700000004</v>
      </c>
      <c r="O196" s="28">
        <v>1122.0600099999999</v>
      </c>
      <c r="P196" s="28">
        <v>877.93998999999997</v>
      </c>
    </row>
    <row r="197" spans="1:16" x14ac:dyDescent="0.25">
      <c r="A197" s="39">
        <v>0</v>
      </c>
      <c r="B197" s="39">
        <v>195</v>
      </c>
      <c r="C197" s="28">
        <v>12.677584400000001</v>
      </c>
      <c r="D197" s="28">
        <v>6.0021770200000004</v>
      </c>
      <c r="E197" s="28">
        <v>27.652560699999999</v>
      </c>
      <c r="F197" s="28">
        <v>21.052569200000001</v>
      </c>
      <c r="G197" s="28">
        <v>18.908456699999999</v>
      </c>
      <c r="H197" s="28">
        <v>48.393786800000001</v>
      </c>
      <c r="I197" s="28">
        <v>36.633975200000002</v>
      </c>
      <c r="J197" s="28">
        <v>984.11600399999998</v>
      </c>
      <c r="K197" s="28">
        <v>970.82592399999999</v>
      </c>
      <c r="L197" s="28">
        <v>5.6038965100000002</v>
      </c>
      <c r="M197" s="28">
        <v>101.46043</v>
      </c>
      <c r="N197" s="28">
        <v>49.526870000000002</v>
      </c>
      <c r="O197" s="28">
        <v>1120.7792999999999</v>
      </c>
      <c r="P197" s="28">
        <v>879.22069799999997</v>
      </c>
    </row>
    <row r="198" spans="1:16" x14ac:dyDescent="0.25">
      <c r="A198" s="39">
        <v>0</v>
      </c>
      <c r="B198" s="39">
        <v>196</v>
      </c>
      <c r="C198" s="28">
        <v>12.575423199999999</v>
      </c>
      <c r="D198" s="28">
        <v>6.0146238199999997</v>
      </c>
      <c r="E198" s="28">
        <v>27.529247300000002</v>
      </c>
      <c r="F198" s="28">
        <v>20.9752197</v>
      </c>
      <c r="G198" s="28">
        <v>18.896762200000001</v>
      </c>
      <c r="H198" s="28">
        <v>48.919600099999997</v>
      </c>
      <c r="I198" s="28">
        <v>36.845673300000001</v>
      </c>
      <c r="J198" s="28">
        <v>983.33008700000005</v>
      </c>
      <c r="K198" s="28">
        <v>966.24667099999999</v>
      </c>
      <c r="L198" s="28">
        <v>5.5938998700000004</v>
      </c>
      <c r="M198" s="28">
        <v>101.75023299999999</v>
      </c>
      <c r="N198" s="28">
        <v>49.7096491</v>
      </c>
      <c r="O198" s="28">
        <v>1118.77997</v>
      </c>
      <c r="P198" s="28">
        <v>881.22002699999996</v>
      </c>
    </row>
    <row r="199" spans="1:16" x14ac:dyDescent="0.25">
      <c r="A199" s="39">
        <v>0</v>
      </c>
      <c r="B199" s="39">
        <v>197</v>
      </c>
      <c r="C199" s="28">
        <v>12.666726199999999</v>
      </c>
      <c r="D199" s="28">
        <v>6.0484825200000003</v>
      </c>
      <c r="E199" s="28">
        <v>27.268380000000001</v>
      </c>
      <c r="F199" s="28">
        <v>21.090215100000002</v>
      </c>
      <c r="G199" s="28">
        <v>18.805322400000001</v>
      </c>
      <c r="H199" s="28">
        <v>48.884876200000001</v>
      </c>
      <c r="I199" s="28">
        <v>36.799866600000001</v>
      </c>
      <c r="J199" s="28">
        <v>983.88160800000003</v>
      </c>
      <c r="K199" s="28">
        <v>965.71042</v>
      </c>
      <c r="L199" s="28">
        <v>5.5918826800000003</v>
      </c>
      <c r="M199" s="28">
        <v>101.507243</v>
      </c>
      <c r="N199" s="28">
        <v>50.281886800000002</v>
      </c>
      <c r="O199" s="28">
        <v>1118.37654</v>
      </c>
      <c r="P199" s="28">
        <v>881.62346500000001</v>
      </c>
    </row>
    <row r="200" spans="1:16" x14ac:dyDescent="0.25">
      <c r="A200" s="39">
        <v>0</v>
      </c>
      <c r="B200" s="39">
        <v>198</v>
      </c>
      <c r="C200" s="28">
        <v>12.6343894</v>
      </c>
      <c r="D200" s="28">
        <v>6.0575904700000001</v>
      </c>
      <c r="E200" s="28">
        <v>27.0790349</v>
      </c>
      <c r="F200" s="28">
        <v>21.100991799999999</v>
      </c>
      <c r="G200" s="28">
        <v>18.7181921</v>
      </c>
      <c r="H200" s="28">
        <v>48.966438500000002</v>
      </c>
      <c r="I200" s="28">
        <v>36.690808699999998</v>
      </c>
      <c r="J200" s="28">
        <v>983.33972800000004</v>
      </c>
      <c r="K200" s="28">
        <v>965.14633800000001</v>
      </c>
      <c r="L200" s="28">
        <v>5.4635563100000004</v>
      </c>
      <c r="M200" s="28">
        <v>101.692391</v>
      </c>
      <c r="N200" s="28">
        <v>50.0598198</v>
      </c>
      <c r="O200" s="28">
        <v>1092.71126</v>
      </c>
      <c r="P200" s="28">
        <v>907.28873699999997</v>
      </c>
    </row>
    <row r="201" spans="1:16" x14ac:dyDescent="0.25">
      <c r="A201" s="39">
        <v>0</v>
      </c>
      <c r="B201" s="39">
        <v>199</v>
      </c>
      <c r="C201" s="28">
        <v>12.645862299999999</v>
      </c>
      <c r="D201" s="28">
        <v>6.0793640900000003</v>
      </c>
      <c r="E201" s="28">
        <v>27.014500699999999</v>
      </c>
      <c r="F201" s="28">
        <v>20.9558678</v>
      </c>
      <c r="G201" s="28">
        <v>18.570927699999999</v>
      </c>
      <c r="H201" s="28">
        <v>48.924354000000001</v>
      </c>
      <c r="I201" s="28">
        <v>36.499890700000002</v>
      </c>
      <c r="J201" s="28">
        <v>984.57214399999998</v>
      </c>
      <c r="K201" s="28">
        <v>970.42944399999999</v>
      </c>
      <c r="L201" s="28">
        <v>5.3848680399999997</v>
      </c>
      <c r="M201" s="28">
        <v>101.91345099999999</v>
      </c>
      <c r="N201" s="28">
        <v>49.495950800000003</v>
      </c>
      <c r="O201" s="28">
        <v>1076.97361</v>
      </c>
      <c r="P201" s="28">
        <v>923.02639099999999</v>
      </c>
    </row>
    <row r="202" spans="1:16" x14ac:dyDescent="0.25">
      <c r="A202" s="39">
        <v>0</v>
      </c>
      <c r="B202" s="39">
        <v>200</v>
      </c>
      <c r="C202" s="28">
        <v>12.7608219</v>
      </c>
      <c r="D202" s="28">
        <v>6.0663306600000002</v>
      </c>
      <c r="E202" s="28">
        <v>27.0349477</v>
      </c>
      <c r="F202" s="28">
        <v>20.940995000000001</v>
      </c>
      <c r="G202" s="28">
        <v>18.447692499999999</v>
      </c>
      <c r="H202" s="28">
        <v>48.666438900000003</v>
      </c>
      <c r="I202" s="28">
        <v>36.556752699999997</v>
      </c>
      <c r="J202" s="28">
        <v>984.38238200000001</v>
      </c>
      <c r="K202" s="28">
        <v>973.07378900000003</v>
      </c>
      <c r="L202" s="28">
        <v>5.3972051900000002</v>
      </c>
      <c r="M202" s="28">
        <v>102.266125</v>
      </c>
      <c r="N202" s="28">
        <v>49.170321000000001</v>
      </c>
      <c r="O202" s="28">
        <v>1079.4410399999999</v>
      </c>
      <c r="P202" s="28">
        <v>920.55896199999995</v>
      </c>
    </row>
    <row r="203" spans="1:16" x14ac:dyDescent="0.25">
      <c r="A203" s="39">
        <v>0</v>
      </c>
      <c r="B203" s="39">
        <v>201</v>
      </c>
      <c r="C203" s="28">
        <v>12.760935999999999</v>
      </c>
      <c r="D203" s="28">
        <v>6.0769058200000003</v>
      </c>
      <c r="E203" s="28">
        <v>27.052584400000001</v>
      </c>
      <c r="F203" s="28">
        <v>20.945736400000001</v>
      </c>
      <c r="G203" s="28">
        <v>18.362930899999999</v>
      </c>
      <c r="H203" s="28">
        <v>48.544263899999997</v>
      </c>
      <c r="I203" s="28">
        <v>36.4918063</v>
      </c>
      <c r="J203" s="28">
        <v>985.43319699999995</v>
      </c>
      <c r="K203" s="28">
        <v>977.14099199999998</v>
      </c>
      <c r="L203" s="28">
        <v>5.3735828100000003</v>
      </c>
      <c r="M203" s="28">
        <v>101.955943</v>
      </c>
      <c r="N203" s="28">
        <v>48.396046499999997</v>
      </c>
      <c r="O203" s="28">
        <v>1074.7165600000001</v>
      </c>
      <c r="P203" s="28">
        <v>925.28343800000005</v>
      </c>
    </row>
    <row r="204" spans="1:16" x14ac:dyDescent="0.25">
      <c r="A204" s="39">
        <v>0</v>
      </c>
      <c r="B204" s="39">
        <v>202</v>
      </c>
      <c r="C204" s="28">
        <v>12.783280299999999</v>
      </c>
      <c r="D204" s="28">
        <v>6.1183837900000002</v>
      </c>
      <c r="E204" s="28">
        <v>27.334868400000001</v>
      </c>
      <c r="F204" s="28">
        <v>21.175831500000001</v>
      </c>
      <c r="G204" s="28">
        <v>18.340513699999999</v>
      </c>
      <c r="H204" s="28">
        <v>49.134919799999999</v>
      </c>
      <c r="I204" s="28">
        <v>36.918657000000003</v>
      </c>
      <c r="J204" s="28">
        <v>983.68988400000001</v>
      </c>
      <c r="K204" s="28">
        <v>980.87730399999998</v>
      </c>
      <c r="L204" s="28">
        <v>5.3798604799999996</v>
      </c>
      <c r="M204" s="28">
        <v>102.078846</v>
      </c>
      <c r="N204" s="28">
        <v>48.3900291</v>
      </c>
      <c r="O204" s="28">
        <v>1075.9721</v>
      </c>
      <c r="P204" s="28">
        <v>924.02790300000004</v>
      </c>
    </row>
    <row r="205" spans="1:16" x14ac:dyDescent="0.25">
      <c r="A205" s="39">
        <v>0</v>
      </c>
      <c r="B205" s="39">
        <v>203</v>
      </c>
      <c r="C205" s="28">
        <v>12.7433557</v>
      </c>
      <c r="D205" s="28">
        <v>6.0950849900000001</v>
      </c>
      <c r="E205" s="28">
        <v>27.236519300000001</v>
      </c>
      <c r="F205" s="28">
        <v>21.2270954</v>
      </c>
      <c r="G205" s="28">
        <v>18.3236025</v>
      </c>
      <c r="H205" s="28">
        <v>48.989947999999998</v>
      </c>
      <c r="I205" s="28">
        <v>36.944652499999997</v>
      </c>
      <c r="J205" s="28">
        <v>985.02997800000003</v>
      </c>
      <c r="K205" s="28">
        <v>986.00253799999996</v>
      </c>
      <c r="L205" s="28">
        <v>5.3522558699999996</v>
      </c>
      <c r="M205" s="28">
        <v>101.930037</v>
      </c>
      <c r="N205" s="28">
        <v>49.0196288</v>
      </c>
      <c r="O205" s="28">
        <v>1070.45117</v>
      </c>
      <c r="P205" s="28">
        <v>929.54882599999996</v>
      </c>
    </row>
    <row r="206" spans="1:16" x14ac:dyDescent="0.25">
      <c r="A206" s="39">
        <v>0</v>
      </c>
      <c r="B206" s="39">
        <v>204</v>
      </c>
      <c r="C206" s="28">
        <v>12.8272263</v>
      </c>
      <c r="D206" s="28">
        <v>6.0952237299999998</v>
      </c>
      <c r="E206" s="28">
        <v>27.4534251</v>
      </c>
      <c r="F206" s="28">
        <v>21.299724900000001</v>
      </c>
      <c r="G206" s="28">
        <v>18.278138200000001</v>
      </c>
      <c r="H206" s="28">
        <v>48.780249099999999</v>
      </c>
      <c r="I206" s="28">
        <v>37.246195</v>
      </c>
      <c r="J206" s="28">
        <v>984.42368299999998</v>
      </c>
      <c r="K206" s="28">
        <v>984.06703200000004</v>
      </c>
      <c r="L206" s="28">
        <v>5.3382904699999996</v>
      </c>
      <c r="M206" s="28">
        <v>101.97086299999999</v>
      </c>
      <c r="N206" s="28">
        <v>49.683356199999999</v>
      </c>
      <c r="O206" s="28">
        <v>1067.6580899999999</v>
      </c>
      <c r="P206" s="28">
        <v>932.34190599999999</v>
      </c>
    </row>
    <row r="207" spans="1:16" x14ac:dyDescent="0.25">
      <c r="A207" s="39">
        <v>0</v>
      </c>
      <c r="B207" s="39">
        <v>205</v>
      </c>
      <c r="C207" s="28">
        <v>12.9040532</v>
      </c>
      <c r="D207" s="28">
        <v>6.0598183600000004</v>
      </c>
      <c r="E207" s="28">
        <v>27.151812100000001</v>
      </c>
      <c r="F207" s="28">
        <v>21.303421199999999</v>
      </c>
      <c r="G207" s="28">
        <v>18.371633200000002</v>
      </c>
      <c r="H207" s="28">
        <v>49.268562600000003</v>
      </c>
      <c r="I207" s="28">
        <v>37.466610699999997</v>
      </c>
      <c r="J207" s="28">
        <v>985.556736</v>
      </c>
      <c r="K207" s="28">
        <v>989.10703000000001</v>
      </c>
      <c r="L207" s="28">
        <v>5.3529730100000004</v>
      </c>
      <c r="M207" s="28">
        <v>102.377805</v>
      </c>
      <c r="N207" s="28">
        <v>49.457453600000001</v>
      </c>
      <c r="O207" s="28">
        <v>1070.5945999999999</v>
      </c>
      <c r="P207" s="28">
        <v>929.40539799999999</v>
      </c>
    </row>
    <row r="208" spans="1:16" x14ac:dyDescent="0.25">
      <c r="A208" s="39">
        <v>0</v>
      </c>
      <c r="B208" s="39">
        <v>206</v>
      </c>
      <c r="C208" s="28">
        <v>12.967222700000001</v>
      </c>
      <c r="D208" s="28">
        <v>6.0781901300000003</v>
      </c>
      <c r="E208" s="28">
        <v>27.563585199999999</v>
      </c>
      <c r="F208" s="28">
        <v>21.2708358</v>
      </c>
      <c r="G208" s="28">
        <v>18.277397799999999</v>
      </c>
      <c r="H208" s="28">
        <v>49.492863999999997</v>
      </c>
      <c r="I208" s="28">
        <v>37.493328499999997</v>
      </c>
      <c r="J208" s="28">
        <v>984.88101900000004</v>
      </c>
      <c r="K208" s="28">
        <v>987.48632599999996</v>
      </c>
      <c r="L208" s="28">
        <v>5.3573920399999997</v>
      </c>
      <c r="M208" s="28">
        <v>103.18050100000001</v>
      </c>
      <c r="N208" s="28">
        <v>49.312288899999999</v>
      </c>
      <c r="O208" s="28">
        <v>1071.4784099999999</v>
      </c>
      <c r="P208" s="28">
        <v>928.52159099999994</v>
      </c>
    </row>
    <row r="209" spans="1:16" x14ac:dyDescent="0.25">
      <c r="A209" s="39">
        <v>0</v>
      </c>
      <c r="B209" s="39">
        <v>207</v>
      </c>
      <c r="C209" s="28">
        <v>12.9443818</v>
      </c>
      <c r="D209" s="28">
        <v>6.0870742299999998</v>
      </c>
      <c r="E209" s="28">
        <v>27.598520700000002</v>
      </c>
      <c r="F209" s="28">
        <v>21.341556600000001</v>
      </c>
      <c r="G209" s="28">
        <v>18.161715999999998</v>
      </c>
      <c r="H209" s="28">
        <v>49.299999700000001</v>
      </c>
      <c r="I209" s="28">
        <v>37.553107799999999</v>
      </c>
      <c r="J209" s="28">
        <v>985.684572</v>
      </c>
      <c r="K209" s="28">
        <v>993.81744500000002</v>
      </c>
      <c r="L209" s="28">
        <v>5.3409535799999999</v>
      </c>
      <c r="M209" s="28">
        <v>103.064712</v>
      </c>
      <c r="N209" s="28">
        <v>49.657997100000003</v>
      </c>
      <c r="O209" s="28">
        <v>1068.1907200000001</v>
      </c>
      <c r="P209" s="28">
        <v>931.80928300000005</v>
      </c>
    </row>
    <row r="210" spans="1:16" x14ac:dyDescent="0.25">
      <c r="A210" s="39">
        <v>0</v>
      </c>
      <c r="B210" s="39">
        <v>208</v>
      </c>
      <c r="C210" s="28">
        <v>13.0069929</v>
      </c>
      <c r="D210" s="28">
        <v>6.0307974800000004</v>
      </c>
      <c r="E210" s="28">
        <v>27.915571199999999</v>
      </c>
      <c r="F210" s="28">
        <v>21.6053332</v>
      </c>
      <c r="G210" s="28">
        <v>18.220687000000002</v>
      </c>
      <c r="H210" s="28">
        <v>49.131674099999998</v>
      </c>
      <c r="I210" s="28">
        <v>37.343260399999998</v>
      </c>
      <c r="J210" s="28">
        <v>985.61712299999999</v>
      </c>
      <c r="K210" s="28">
        <v>997.12027799999998</v>
      </c>
      <c r="L210" s="28">
        <v>5.30695768</v>
      </c>
      <c r="M210" s="28">
        <v>103.30123500000001</v>
      </c>
      <c r="N210" s="28">
        <v>50.280487600000001</v>
      </c>
      <c r="O210" s="28">
        <v>1061.3915400000001</v>
      </c>
      <c r="P210" s="28">
        <v>938.60846300000003</v>
      </c>
    </row>
    <row r="211" spans="1:16" x14ac:dyDescent="0.25">
      <c r="A211" s="39">
        <v>0</v>
      </c>
      <c r="B211" s="39">
        <v>209</v>
      </c>
      <c r="C211" s="28">
        <v>13.103167600000001</v>
      </c>
      <c r="D211" s="28">
        <v>6.0153872100000001</v>
      </c>
      <c r="E211" s="28">
        <v>28.059337800000002</v>
      </c>
      <c r="F211" s="28">
        <v>21.6580078</v>
      </c>
      <c r="G211" s="28">
        <v>18.3191557</v>
      </c>
      <c r="H211" s="28">
        <v>49.227418100000001</v>
      </c>
      <c r="I211" s="28">
        <v>37.560976500000002</v>
      </c>
      <c r="J211" s="28">
        <v>986.43588599999998</v>
      </c>
      <c r="K211" s="28">
        <v>1002.125</v>
      </c>
      <c r="L211" s="28">
        <v>5.2288223800000004</v>
      </c>
      <c r="M211" s="28">
        <v>103.731362</v>
      </c>
      <c r="N211" s="28">
        <v>50.234656800000003</v>
      </c>
      <c r="O211" s="28">
        <v>1045.76448</v>
      </c>
      <c r="P211" s="28">
        <v>954.23552400000005</v>
      </c>
    </row>
    <row r="212" spans="1:16" x14ac:dyDescent="0.25">
      <c r="A212" s="39">
        <v>0</v>
      </c>
      <c r="B212" s="39">
        <v>210</v>
      </c>
      <c r="C212" s="28">
        <v>13.1452934</v>
      </c>
      <c r="D212" s="28">
        <v>6.0195283799999997</v>
      </c>
      <c r="E212" s="28">
        <v>28.2174035</v>
      </c>
      <c r="F212" s="28">
        <v>21.630849600000001</v>
      </c>
      <c r="G212" s="28">
        <v>18.3494548</v>
      </c>
      <c r="H212" s="28">
        <v>49.359059700000003</v>
      </c>
      <c r="I212" s="28">
        <v>38.031475</v>
      </c>
      <c r="J212" s="28">
        <v>985.86400400000002</v>
      </c>
      <c r="K212" s="28">
        <v>1003.27148</v>
      </c>
      <c r="L212" s="28">
        <v>5.2369609800000001</v>
      </c>
      <c r="M212" s="28">
        <v>103.574129</v>
      </c>
      <c r="N212" s="28">
        <v>50.954828200000001</v>
      </c>
      <c r="O212" s="28">
        <v>1047.3922</v>
      </c>
      <c r="P212" s="28">
        <v>952.60780499999998</v>
      </c>
    </row>
    <row r="213" spans="1:16" x14ac:dyDescent="0.25">
      <c r="A213" s="39">
        <v>0</v>
      </c>
      <c r="B213" s="39">
        <v>211</v>
      </c>
      <c r="C213" s="28">
        <v>13.096618599999999</v>
      </c>
      <c r="D213" s="28">
        <v>6.0363739000000001</v>
      </c>
      <c r="E213" s="28">
        <v>28.349348899999999</v>
      </c>
      <c r="F213" s="28">
        <v>21.936912299999999</v>
      </c>
      <c r="G213" s="28">
        <v>18.418808599999998</v>
      </c>
      <c r="H213" s="28">
        <v>50.011214000000002</v>
      </c>
      <c r="I213" s="28">
        <v>37.850203100000002</v>
      </c>
      <c r="J213" s="28">
        <v>985.82156099999997</v>
      </c>
      <c r="K213" s="28">
        <v>1000.6975</v>
      </c>
      <c r="L213" s="28">
        <v>5.2431374799999997</v>
      </c>
      <c r="M213" s="28">
        <v>104.21115899999999</v>
      </c>
      <c r="N213" s="28">
        <v>51.1141772</v>
      </c>
      <c r="O213" s="28">
        <v>1048.6275000000001</v>
      </c>
      <c r="P213" s="28">
        <v>951.37250400000005</v>
      </c>
    </row>
    <row r="214" spans="1:16" x14ac:dyDescent="0.25">
      <c r="A214" s="39">
        <v>0</v>
      </c>
      <c r="B214" s="39">
        <v>212</v>
      </c>
      <c r="C214" s="28">
        <v>13.262084099999999</v>
      </c>
      <c r="D214" s="28">
        <v>6.0931503999999999</v>
      </c>
      <c r="E214" s="28">
        <v>28.358878499999999</v>
      </c>
      <c r="F214" s="28">
        <v>21.8829612</v>
      </c>
      <c r="G214" s="28">
        <v>18.553533000000002</v>
      </c>
      <c r="H214" s="28">
        <v>49.641324400000002</v>
      </c>
      <c r="I214" s="28">
        <v>37.612730900000003</v>
      </c>
      <c r="J214" s="28">
        <v>984.98104000000001</v>
      </c>
      <c r="K214" s="28">
        <v>1003.82485</v>
      </c>
      <c r="L214" s="28">
        <v>5.2305836399999999</v>
      </c>
      <c r="M214" s="28">
        <v>104.16891800000001</v>
      </c>
      <c r="N214" s="28">
        <v>51.131955300000001</v>
      </c>
      <c r="O214" s="28">
        <v>1046.11673</v>
      </c>
      <c r="P214" s="28">
        <v>953.88327300000003</v>
      </c>
    </row>
    <row r="215" spans="1:16" x14ac:dyDescent="0.25">
      <c r="A215" s="39">
        <v>0</v>
      </c>
      <c r="B215" s="39">
        <v>213</v>
      </c>
      <c r="C215" s="28">
        <v>13.2344154</v>
      </c>
      <c r="D215" s="28">
        <v>6.07098987</v>
      </c>
      <c r="E215" s="28">
        <v>28.381367900000001</v>
      </c>
      <c r="F215" s="28">
        <v>22.0189989</v>
      </c>
      <c r="G215" s="28">
        <v>18.530187099999999</v>
      </c>
      <c r="H215" s="28">
        <v>50.057071999999998</v>
      </c>
      <c r="I215" s="28">
        <v>37.254700200000002</v>
      </c>
      <c r="J215" s="28">
        <v>985.75577199999998</v>
      </c>
      <c r="K215" s="28">
        <v>1002.68821</v>
      </c>
      <c r="L215" s="28">
        <v>5.2656147300000002</v>
      </c>
      <c r="M215" s="28">
        <v>104.159679</v>
      </c>
      <c r="N215" s="28">
        <v>51.039676299999996</v>
      </c>
      <c r="O215" s="28">
        <v>1053.1229499999999</v>
      </c>
      <c r="P215" s="28">
        <v>946.87705300000005</v>
      </c>
    </row>
    <row r="216" spans="1:16" x14ac:dyDescent="0.25">
      <c r="A216" s="39">
        <v>0</v>
      </c>
      <c r="B216" s="39">
        <v>214</v>
      </c>
      <c r="C216" s="28">
        <v>13.239286999999999</v>
      </c>
      <c r="D216" s="28">
        <v>6.1130095200000003</v>
      </c>
      <c r="E216" s="28">
        <v>28.5956601</v>
      </c>
      <c r="F216" s="28">
        <v>21.914804400000001</v>
      </c>
      <c r="G216" s="28">
        <v>18.706631999999999</v>
      </c>
      <c r="H216" s="28">
        <v>49.987323699999997</v>
      </c>
      <c r="I216" s="28">
        <v>37.195541200000001</v>
      </c>
      <c r="J216" s="28">
        <v>985.10528799999997</v>
      </c>
      <c r="K216" s="28">
        <v>1003.01363</v>
      </c>
      <c r="L216" s="28">
        <v>5.3444058099999996</v>
      </c>
      <c r="M216" s="28">
        <v>104.498271</v>
      </c>
      <c r="N216" s="28">
        <v>51.155355</v>
      </c>
      <c r="O216" s="28">
        <v>1068.8811599999999</v>
      </c>
      <c r="P216" s="28">
        <v>931.11883799999998</v>
      </c>
    </row>
    <row r="217" spans="1:16" x14ac:dyDescent="0.25">
      <c r="A217" s="39">
        <v>0</v>
      </c>
      <c r="B217" s="39">
        <v>215</v>
      </c>
      <c r="C217" s="28">
        <v>13.346527999999999</v>
      </c>
      <c r="D217" s="28">
        <v>6.0936397199999996</v>
      </c>
      <c r="E217" s="28">
        <v>28.673033400000001</v>
      </c>
      <c r="F217" s="28">
        <v>22.0578924</v>
      </c>
      <c r="G217" s="28">
        <v>18.7011781</v>
      </c>
      <c r="H217" s="28">
        <v>49.923426399999997</v>
      </c>
      <c r="I217" s="28">
        <v>37.308103299999999</v>
      </c>
      <c r="J217" s="28">
        <v>985.76632900000004</v>
      </c>
      <c r="K217" s="28">
        <v>1006.6344800000001</v>
      </c>
      <c r="L217" s="28">
        <v>5.3154867100000001</v>
      </c>
      <c r="M217" s="28">
        <v>104.64819799999999</v>
      </c>
      <c r="N217" s="28">
        <v>50.995556299999997</v>
      </c>
      <c r="O217" s="28">
        <v>1063.09734</v>
      </c>
      <c r="P217" s="28">
        <v>936.90265799999997</v>
      </c>
    </row>
    <row r="218" spans="1:16" x14ac:dyDescent="0.25">
      <c r="A218" s="39">
        <v>0</v>
      </c>
      <c r="B218" s="39">
        <v>216</v>
      </c>
      <c r="C218" s="28">
        <v>13.380772</v>
      </c>
      <c r="D218" s="28">
        <v>6.0940926500000003</v>
      </c>
      <c r="E218" s="28">
        <v>28.5032976</v>
      </c>
      <c r="F218" s="28">
        <v>21.8978602</v>
      </c>
      <c r="G218" s="28">
        <v>18.6481785</v>
      </c>
      <c r="H218" s="28">
        <v>49.161234200000003</v>
      </c>
      <c r="I218" s="28">
        <v>36.778865199999998</v>
      </c>
      <c r="J218" s="28">
        <v>986.24608599999999</v>
      </c>
      <c r="K218" s="28">
        <v>1002.68188</v>
      </c>
      <c r="L218" s="28">
        <v>5.2902435800000003</v>
      </c>
      <c r="M218" s="28">
        <v>104.193038</v>
      </c>
      <c r="N218" s="28">
        <v>50.700966700000002</v>
      </c>
      <c r="O218" s="28">
        <v>1058.04872</v>
      </c>
      <c r="P218" s="28">
        <v>941.95128399999999</v>
      </c>
    </row>
    <row r="219" spans="1:16" x14ac:dyDescent="0.25">
      <c r="A219" s="39">
        <v>0</v>
      </c>
      <c r="B219" s="39">
        <v>217</v>
      </c>
      <c r="C219" s="28">
        <v>13.443198799999999</v>
      </c>
      <c r="D219" s="28">
        <v>6.0816282399999997</v>
      </c>
      <c r="E219" s="28">
        <v>28.524911299999999</v>
      </c>
      <c r="F219" s="28">
        <v>21.763740500000001</v>
      </c>
      <c r="G219" s="28">
        <v>18.6539666</v>
      </c>
      <c r="H219" s="28">
        <v>48.3734015</v>
      </c>
      <c r="I219" s="28">
        <v>36.507913199999997</v>
      </c>
      <c r="J219" s="28">
        <v>987.70719099999997</v>
      </c>
      <c r="K219" s="28">
        <v>999.27765599999998</v>
      </c>
      <c r="L219" s="28">
        <v>5.2396035999999997</v>
      </c>
      <c r="M219" s="28">
        <v>103.594371</v>
      </c>
      <c r="N219" s="28">
        <v>50.8974762</v>
      </c>
      <c r="O219" s="28">
        <v>1047.9207200000001</v>
      </c>
      <c r="P219" s="28">
        <v>952.07928000000004</v>
      </c>
    </row>
    <row r="220" spans="1:16" x14ac:dyDescent="0.25">
      <c r="A220" s="39">
        <v>0</v>
      </c>
      <c r="B220" s="39">
        <v>218</v>
      </c>
      <c r="C220" s="28">
        <v>13.405510700000001</v>
      </c>
      <c r="D220" s="28">
        <v>6.0760622299999998</v>
      </c>
      <c r="E220" s="28">
        <v>28.371076299999999</v>
      </c>
      <c r="F220" s="28">
        <v>21.5865425</v>
      </c>
      <c r="G220" s="28">
        <v>18.590799100000002</v>
      </c>
      <c r="H220" s="28">
        <v>48.223384799999998</v>
      </c>
      <c r="I220" s="28">
        <v>36.5080247</v>
      </c>
      <c r="J220" s="28">
        <v>987.93939699999999</v>
      </c>
      <c r="K220" s="28">
        <v>1002.70679</v>
      </c>
      <c r="L220" s="28">
        <v>5.2452617200000002</v>
      </c>
      <c r="M220" s="28">
        <v>103.195384</v>
      </c>
      <c r="N220" s="28">
        <v>50.9447695</v>
      </c>
      <c r="O220" s="28">
        <v>1049.05234</v>
      </c>
      <c r="P220" s="28">
        <v>950.94765600000005</v>
      </c>
    </row>
    <row r="221" spans="1:16" x14ac:dyDescent="0.25">
      <c r="A221" s="39">
        <v>0</v>
      </c>
      <c r="B221" s="39">
        <v>219</v>
      </c>
      <c r="C221" s="28">
        <v>13.495533099999999</v>
      </c>
      <c r="D221" s="28">
        <v>6.0516414300000001</v>
      </c>
      <c r="E221" s="28">
        <v>28.415763399999999</v>
      </c>
      <c r="F221" s="28">
        <v>21.319257199999999</v>
      </c>
      <c r="G221" s="28">
        <v>18.562531400000001</v>
      </c>
      <c r="H221" s="28">
        <v>48.444636500000001</v>
      </c>
      <c r="I221" s="28">
        <v>36.251598299999998</v>
      </c>
      <c r="J221" s="28">
        <v>989.35008300000004</v>
      </c>
      <c r="K221" s="28">
        <v>1003.61493</v>
      </c>
      <c r="L221" s="28">
        <v>5.2287957399999998</v>
      </c>
      <c r="M221" s="28">
        <v>103.225078</v>
      </c>
      <c r="N221" s="28">
        <v>51.186731700000003</v>
      </c>
      <c r="O221" s="28">
        <v>1045.7591500000001</v>
      </c>
      <c r="P221" s="28">
        <v>954.24085100000002</v>
      </c>
    </row>
    <row r="222" spans="1:16" x14ac:dyDescent="0.25">
      <c r="A222" s="39">
        <v>0</v>
      </c>
      <c r="B222" s="39">
        <v>220</v>
      </c>
      <c r="C222" s="28">
        <v>13.4705566</v>
      </c>
      <c r="D222" s="28">
        <v>6.0234597399999998</v>
      </c>
      <c r="E222" s="28">
        <v>28.438948199999999</v>
      </c>
      <c r="F222" s="28">
        <v>21.392731000000001</v>
      </c>
      <c r="G222" s="28">
        <v>18.5157335</v>
      </c>
      <c r="H222" s="28">
        <v>48.313908300000001</v>
      </c>
      <c r="I222" s="28">
        <v>36.120837700000003</v>
      </c>
      <c r="J222" s="28">
        <v>989.44947000000002</v>
      </c>
      <c r="K222" s="28">
        <v>1008.53659</v>
      </c>
      <c r="L222" s="28">
        <v>5.20822232</v>
      </c>
      <c r="M222" s="28">
        <v>103.486313</v>
      </c>
      <c r="N222" s="28">
        <v>51.261362099999999</v>
      </c>
      <c r="O222" s="28">
        <v>1041.64446</v>
      </c>
      <c r="P222" s="28">
        <v>958.35553500000003</v>
      </c>
    </row>
    <row r="223" spans="1:16" x14ac:dyDescent="0.25">
      <c r="A223" s="39">
        <v>0</v>
      </c>
      <c r="B223" s="39">
        <v>221</v>
      </c>
      <c r="C223" s="28">
        <v>13.4668519</v>
      </c>
      <c r="D223" s="28">
        <v>6.0921833000000003</v>
      </c>
      <c r="E223" s="28">
        <v>28.477560100000002</v>
      </c>
      <c r="F223" s="28">
        <v>21.572066100000001</v>
      </c>
      <c r="G223" s="28">
        <v>18.447271799999999</v>
      </c>
      <c r="H223" s="28">
        <v>48.667443800000001</v>
      </c>
      <c r="I223" s="28">
        <v>35.951984199999998</v>
      </c>
      <c r="J223" s="28">
        <v>988.89451199999996</v>
      </c>
      <c r="K223" s="28">
        <v>1006.5793</v>
      </c>
      <c r="L223" s="28">
        <v>5.1573154299999997</v>
      </c>
      <c r="M223" s="28">
        <v>104.042013</v>
      </c>
      <c r="N223" s="28">
        <v>51.762921400000003</v>
      </c>
      <c r="O223" s="28">
        <v>1031.46309</v>
      </c>
      <c r="P223" s="28">
        <v>968.53691300000003</v>
      </c>
    </row>
    <row r="224" spans="1:16" x14ac:dyDescent="0.25">
      <c r="A224" s="39">
        <v>0</v>
      </c>
      <c r="B224" s="39">
        <v>222</v>
      </c>
      <c r="C224" s="28">
        <v>13.523360200000001</v>
      </c>
      <c r="D224" s="28">
        <v>6.08839913</v>
      </c>
      <c r="E224" s="28">
        <v>28.417729699999999</v>
      </c>
      <c r="F224" s="28">
        <v>21.614604400000001</v>
      </c>
      <c r="G224" s="28">
        <v>18.430294</v>
      </c>
      <c r="H224" s="28">
        <v>48.506090200000003</v>
      </c>
      <c r="I224" s="28">
        <v>35.7490594</v>
      </c>
      <c r="J224" s="28">
        <v>988.84960999999998</v>
      </c>
      <c r="K224" s="28">
        <v>1002.8564699999999</v>
      </c>
      <c r="L224" s="28">
        <v>5.1663178600000004</v>
      </c>
      <c r="M224" s="28">
        <v>103.509011</v>
      </c>
      <c r="N224" s="28">
        <v>52.152581499999997</v>
      </c>
      <c r="O224" s="28">
        <v>1033.2635700000001</v>
      </c>
      <c r="P224" s="28">
        <v>966.73642700000005</v>
      </c>
    </row>
    <row r="225" spans="1:16" x14ac:dyDescent="0.25">
      <c r="A225" s="39">
        <v>0</v>
      </c>
      <c r="B225" s="39">
        <v>223</v>
      </c>
      <c r="C225" s="28">
        <v>13.3734214</v>
      </c>
      <c r="D225" s="28">
        <v>6.0681862500000001</v>
      </c>
      <c r="E225" s="28">
        <v>28.516934500000001</v>
      </c>
      <c r="F225" s="28">
        <v>21.723035599999999</v>
      </c>
      <c r="G225" s="28">
        <v>18.419612999999998</v>
      </c>
      <c r="H225" s="28">
        <v>48.824405400000003</v>
      </c>
      <c r="I225" s="28">
        <v>35.423060499999998</v>
      </c>
      <c r="J225" s="28">
        <v>989.63128700000004</v>
      </c>
      <c r="K225" s="28">
        <v>1005.60826</v>
      </c>
      <c r="L225" s="28">
        <v>5.1724737799999998</v>
      </c>
      <c r="M225" s="28">
        <v>103.501395</v>
      </c>
      <c r="N225" s="28">
        <v>52.006093</v>
      </c>
      <c r="O225" s="28">
        <v>1034.49476</v>
      </c>
      <c r="P225" s="28">
        <v>965.50524299999995</v>
      </c>
    </row>
    <row r="226" spans="1:16" x14ac:dyDescent="0.25">
      <c r="A226" s="39">
        <v>0</v>
      </c>
      <c r="B226" s="39">
        <v>224</v>
      </c>
      <c r="C226" s="28">
        <v>13.348748799999999</v>
      </c>
      <c r="D226" s="28">
        <v>5.9868773300000004</v>
      </c>
      <c r="E226" s="28">
        <v>28.4877322</v>
      </c>
      <c r="F226" s="28">
        <v>21.6836956</v>
      </c>
      <c r="G226" s="28">
        <v>18.432739900000001</v>
      </c>
      <c r="H226" s="28">
        <v>48.340643999999998</v>
      </c>
      <c r="I226" s="28">
        <v>35.6568027</v>
      </c>
      <c r="J226" s="28">
        <v>990.78375200000005</v>
      </c>
      <c r="K226" s="28">
        <v>1006.03703</v>
      </c>
      <c r="L226" s="28">
        <v>5.2195961000000004</v>
      </c>
      <c r="M226" s="28">
        <v>103.605396</v>
      </c>
      <c r="N226" s="28">
        <v>52.022010199999997</v>
      </c>
      <c r="O226" s="28">
        <v>1043.91922</v>
      </c>
      <c r="P226" s="28">
        <v>956.08078</v>
      </c>
    </row>
    <row r="227" spans="1:16" x14ac:dyDescent="0.25">
      <c r="A227" s="39">
        <v>0</v>
      </c>
      <c r="B227" s="39">
        <v>225</v>
      </c>
      <c r="C227" s="28">
        <v>13.296184800000001</v>
      </c>
      <c r="D227" s="28">
        <v>5.9408225400000001</v>
      </c>
      <c r="E227" s="28">
        <v>28.160935500000001</v>
      </c>
      <c r="F227" s="28">
        <v>21.799507999999999</v>
      </c>
      <c r="G227" s="28">
        <v>18.539610400000001</v>
      </c>
      <c r="H227" s="28">
        <v>48.541942300000002</v>
      </c>
      <c r="I227" s="28">
        <v>35.294313299999999</v>
      </c>
      <c r="J227" s="28">
        <v>991.87962300000004</v>
      </c>
      <c r="K227" s="28">
        <v>1007.49537</v>
      </c>
      <c r="L227" s="28">
        <v>5.2997121299999996</v>
      </c>
      <c r="M227" s="28">
        <v>103.296511</v>
      </c>
      <c r="N227" s="28">
        <v>52.855482600000002</v>
      </c>
      <c r="O227" s="28">
        <v>1059.9424300000001</v>
      </c>
      <c r="P227" s="28">
        <v>940.05757500000004</v>
      </c>
    </row>
    <row r="228" spans="1:16" x14ac:dyDescent="0.25">
      <c r="A228" s="39">
        <v>0</v>
      </c>
      <c r="B228" s="39">
        <v>226</v>
      </c>
      <c r="C228" s="28">
        <v>13.2131022</v>
      </c>
      <c r="D228" s="28">
        <v>5.8625121499999997</v>
      </c>
      <c r="E228" s="28">
        <v>27.8145363</v>
      </c>
      <c r="F228" s="28">
        <v>21.745339900000001</v>
      </c>
      <c r="G228" s="28">
        <v>18.581899700000001</v>
      </c>
      <c r="H228" s="28">
        <v>48.2395596</v>
      </c>
      <c r="I228" s="28">
        <v>35.445722699999997</v>
      </c>
      <c r="J228" s="28">
        <v>993.07639600000005</v>
      </c>
      <c r="K228" s="28">
        <v>998.31941200000006</v>
      </c>
      <c r="L228" s="28">
        <v>5.3437432899999999</v>
      </c>
      <c r="M228" s="28">
        <v>102.727473</v>
      </c>
      <c r="N228" s="28">
        <v>52.549885400000001</v>
      </c>
      <c r="O228" s="28">
        <v>1068.74866</v>
      </c>
      <c r="P228" s="28">
        <v>931.25134100000002</v>
      </c>
    </row>
    <row r="229" spans="1:16" x14ac:dyDescent="0.25">
      <c r="A229" s="39">
        <v>0</v>
      </c>
      <c r="B229" s="39">
        <v>227</v>
      </c>
      <c r="C229" s="28">
        <v>13.217763700000001</v>
      </c>
      <c r="D229" s="28">
        <v>5.9146558300000001</v>
      </c>
      <c r="E229" s="28">
        <v>27.948407100000001</v>
      </c>
      <c r="F229" s="28">
        <v>21.727159799999999</v>
      </c>
      <c r="G229" s="28">
        <v>18.902835199999998</v>
      </c>
      <c r="H229" s="28">
        <v>49.1937432</v>
      </c>
      <c r="I229" s="28">
        <v>35.659201500000002</v>
      </c>
      <c r="J229" s="28">
        <v>992.50882200000001</v>
      </c>
      <c r="K229" s="28">
        <v>998.23145999999997</v>
      </c>
      <c r="L229" s="28">
        <v>5.2465542799999998</v>
      </c>
      <c r="M229" s="28">
        <v>103.419738</v>
      </c>
      <c r="N229" s="28">
        <v>52.224661099999999</v>
      </c>
      <c r="O229" s="28">
        <v>1049.31086</v>
      </c>
      <c r="P229" s="28">
        <v>950.68914299999994</v>
      </c>
    </row>
    <row r="230" spans="1:16" x14ac:dyDescent="0.25">
      <c r="A230" s="39">
        <v>0</v>
      </c>
      <c r="B230" s="39">
        <v>228</v>
      </c>
      <c r="C230" s="28">
        <v>13.2233038</v>
      </c>
      <c r="D230" s="28">
        <v>5.9454770400000001</v>
      </c>
      <c r="E230" s="28">
        <v>27.935827199999999</v>
      </c>
      <c r="F230" s="28">
        <v>21.5799819</v>
      </c>
      <c r="G230" s="28">
        <v>18.667983899999999</v>
      </c>
      <c r="H230" s="28">
        <v>49.330893199999998</v>
      </c>
      <c r="I230" s="28">
        <v>35.644409799999998</v>
      </c>
      <c r="J230" s="28">
        <v>992.35710400000005</v>
      </c>
      <c r="K230" s="28">
        <v>996.95098900000005</v>
      </c>
      <c r="L230" s="28">
        <v>5.1927300900000004</v>
      </c>
      <c r="M230" s="28">
        <v>103.674193</v>
      </c>
      <c r="N230" s="28">
        <v>52.322389600000001</v>
      </c>
      <c r="O230" s="28">
        <v>1038.54602</v>
      </c>
      <c r="P230" s="28">
        <v>961.453981</v>
      </c>
    </row>
    <row r="231" spans="1:16" x14ac:dyDescent="0.25">
      <c r="A231" s="39">
        <v>0</v>
      </c>
      <c r="B231" s="39">
        <v>229</v>
      </c>
      <c r="C231" s="28">
        <v>13.2430167</v>
      </c>
      <c r="D231" s="28">
        <v>5.9262020800000004</v>
      </c>
      <c r="E231" s="28">
        <v>27.888084500000001</v>
      </c>
      <c r="F231" s="28">
        <v>21.4824035</v>
      </c>
      <c r="G231" s="28">
        <v>18.512552199999998</v>
      </c>
      <c r="H231" s="28">
        <v>49.2558449</v>
      </c>
      <c r="I231" s="28">
        <v>35.771729200000003</v>
      </c>
      <c r="J231" s="28">
        <v>993.42062299999998</v>
      </c>
      <c r="K231" s="28">
        <v>995.34774100000004</v>
      </c>
      <c r="L231" s="28">
        <v>5.2000276899999998</v>
      </c>
      <c r="M231" s="28">
        <v>103.51779399999999</v>
      </c>
      <c r="N231" s="28">
        <v>53.0331999</v>
      </c>
      <c r="O231" s="28">
        <v>1040.0055400000001</v>
      </c>
      <c r="P231" s="28">
        <v>959.994462</v>
      </c>
    </row>
    <row r="232" spans="1:16" x14ac:dyDescent="0.25">
      <c r="A232" s="39">
        <v>0</v>
      </c>
      <c r="B232" s="39">
        <v>230</v>
      </c>
      <c r="C232" s="28">
        <v>13.1491642</v>
      </c>
      <c r="D232" s="28">
        <v>5.9199944999999996</v>
      </c>
      <c r="E232" s="28">
        <v>28.0016882</v>
      </c>
      <c r="F232" s="28">
        <v>21.467543299999999</v>
      </c>
      <c r="G232" s="28">
        <v>18.361457900000001</v>
      </c>
      <c r="H232" s="28">
        <v>49.283104399999999</v>
      </c>
      <c r="I232" s="28">
        <v>35.724072499999998</v>
      </c>
      <c r="J232" s="28">
        <v>993.62955299999999</v>
      </c>
      <c r="K232" s="28">
        <v>993.59338100000002</v>
      </c>
      <c r="L232" s="28">
        <v>5.1665725900000004</v>
      </c>
      <c r="M232" s="28">
        <v>103.819992</v>
      </c>
      <c r="N232" s="28">
        <v>53.092046600000003</v>
      </c>
      <c r="O232" s="28">
        <v>1033.3145199999999</v>
      </c>
      <c r="P232" s="28">
        <v>966.68548299999998</v>
      </c>
    </row>
    <row r="233" spans="1:16" x14ac:dyDescent="0.25">
      <c r="A233" s="39">
        <v>0</v>
      </c>
      <c r="B233" s="39">
        <v>231</v>
      </c>
      <c r="C233" s="28">
        <v>13.178197600000001</v>
      </c>
      <c r="D233" s="28">
        <v>5.9826893400000003</v>
      </c>
      <c r="E233" s="28">
        <v>28.278510499999999</v>
      </c>
      <c r="F233" s="28">
        <v>21.5059176</v>
      </c>
      <c r="G233" s="28">
        <v>18.402886599999999</v>
      </c>
      <c r="H233" s="28">
        <v>49.042250699999997</v>
      </c>
      <c r="I233" s="28">
        <v>35.663961999999998</v>
      </c>
      <c r="J233" s="28">
        <v>993.41125699999998</v>
      </c>
      <c r="K233" s="28">
        <v>992.94479699999999</v>
      </c>
      <c r="L233" s="28">
        <v>5.0984716800000003</v>
      </c>
      <c r="M233" s="28">
        <v>104.60377</v>
      </c>
      <c r="N233" s="28">
        <v>53.406982900000003</v>
      </c>
      <c r="O233" s="28">
        <v>1019.69434</v>
      </c>
      <c r="P233" s="28">
        <v>980.30566499999998</v>
      </c>
    </row>
    <row r="234" spans="1:16" x14ac:dyDescent="0.25">
      <c r="A234" s="39">
        <v>0</v>
      </c>
      <c r="B234" s="39">
        <v>232</v>
      </c>
      <c r="C234" s="28">
        <v>13.1912494</v>
      </c>
      <c r="D234" s="28">
        <v>5.9910900099999997</v>
      </c>
      <c r="E234" s="28">
        <v>28.372800300000002</v>
      </c>
      <c r="F234" s="28">
        <v>21.647054700000002</v>
      </c>
      <c r="G234" s="28">
        <v>18.638524700000001</v>
      </c>
      <c r="H234" s="28">
        <v>49.2607669</v>
      </c>
      <c r="I234" s="28">
        <v>36.1147718</v>
      </c>
      <c r="J234" s="28">
        <v>992.80774599999995</v>
      </c>
      <c r="K234" s="28">
        <v>989.65012400000001</v>
      </c>
      <c r="L234" s="28">
        <v>5.1132723499999999</v>
      </c>
      <c r="M234" s="28">
        <v>104.480188</v>
      </c>
      <c r="N234" s="28">
        <v>52.964405999999997</v>
      </c>
      <c r="O234" s="28">
        <v>1022.6544699999999</v>
      </c>
      <c r="P234" s="28">
        <v>977.34553000000005</v>
      </c>
    </row>
    <row r="235" spans="1:16" x14ac:dyDescent="0.25">
      <c r="A235" s="39">
        <v>0</v>
      </c>
      <c r="B235" s="39">
        <v>233</v>
      </c>
      <c r="C235" s="28">
        <v>13.068633699999999</v>
      </c>
      <c r="D235" s="28">
        <v>5.9898784000000003</v>
      </c>
      <c r="E235" s="28">
        <v>28.3011382</v>
      </c>
      <c r="F235" s="28">
        <v>21.639266500000002</v>
      </c>
      <c r="G235" s="28">
        <v>18.440241700000001</v>
      </c>
      <c r="H235" s="28">
        <v>49.449161099999998</v>
      </c>
      <c r="I235" s="28">
        <v>36.027546899999997</v>
      </c>
      <c r="J235" s="28">
        <v>993.49290099999996</v>
      </c>
      <c r="K235" s="28">
        <v>979.34509600000001</v>
      </c>
      <c r="L235" s="28">
        <v>5.0951208799999996</v>
      </c>
      <c r="M235" s="28">
        <v>103.92389300000001</v>
      </c>
      <c r="N235" s="28">
        <v>53.010502899999999</v>
      </c>
      <c r="O235" s="28">
        <v>1019.02418</v>
      </c>
      <c r="P235" s="28">
        <v>980.97582299999999</v>
      </c>
    </row>
    <row r="236" spans="1:16" x14ac:dyDescent="0.25">
      <c r="A236" s="39">
        <v>0</v>
      </c>
      <c r="B236" s="39">
        <v>234</v>
      </c>
      <c r="C236" s="28">
        <v>12.845696999999999</v>
      </c>
      <c r="D236" s="28">
        <v>5.9740003899999996</v>
      </c>
      <c r="E236" s="28">
        <v>28.2144449</v>
      </c>
      <c r="F236" s="28">
        <v>21.4605195</v>
      </c>
      <c r="G236" s="28">
        <v>18.210246699999999</v>
      </c>
      <c r="H236" s="28">
        <v>48.914195599999999</v>
      </c>
      <c r="I236" s="28">
        <v>35.707697899999999</v>
      </c>
      <c r="J236" s="28">
        <v>994.636798</v>
      </c>
      <c r="K236" s="28">
        <v>982.70540100000005</v>
      </c>
      <c r="L236" s="28">
        <v>5.0719474399999998</v>
      </c>
      <c r="M236" s="28">
        <v>103.276535</v>
      </c>
      <c r="N236" s="28">
        <v>53.169185200000001</v>
      </c>
      <c r="O236" s="28">
        <v>1014.38949</v>
      </c>
      <c r="P236" s="28">
        <v>985.61051199999997</v>
      </c>
    </row>
    <row r="237" spans="1:16" x14ac:dyDescent="0.25">
      <c r="A237" s="39">
        <v>0</v>
      </c>
      <c r="B237" s="39">
        <v>235</v>
      </c>
      <c r="C237" s="28">
        <v>12.86759</v>
      </c>
      <c r="D237" s="28">
        <v>6.0082803599999997</v>
      </c>
      <c r="E237" s="28">
        <v>28.127829299999998</v>
      </c>
      <c r="F237" s="28">
        <v>21.574181599999999</v>
      </c>
      <c r="G237" s="28">
        <v>18.396244200000002</v>
      </c>
      <c r="H237" s="28">
        <v>48.949143100000001</v>
      </c>
      <c r="I237" s="28">
        <v>36.0031593</v>
      </c>
      <c r="J237" s="28">
        <v>994.39317500000004</v>
      </c>
      <c r="K237" s="28">
        <v>977.378378</v>
      </c>
      <c r="L237" s="28">
        <v>5.0766821599999998</v>
      </c>
      <c r="M237" s="28">
        <v>103.622195</v>
      </c>
      <c r="N237" s="28">
        <v>53.512970199999998</v>
      </c>
      <c r="O237" s="28">
        <v>1015.33643</v>
      </c>
      <c r="P237" s="28">
        <v>984.66356900000005</v>
      </c>
    </row>
    <row r="238" spans="1:16" x14ac:dyDescent="0.25">
      <c r="A238" s="39">
        <v>0</v>
      </c>
      <c r="B238" s="39">
        <v>236</v>
      </c>
      <c r="C238" s="28">
        <v>12.8763071</v>
      </c>
      <c r="D238" s="28">
        <v>6.0413437600000002</v>
      </c>
      <c r="E238" s="28">
        <v>28.164043899999999</v>
      </c>
      <c r="F238" s="28">
        <v>21.746161799999999</v>
      </c>
      <c r="G238" s="28">
        <v>18.515229600000001</v>
      </c>
      <c r="H238" s="28">
        <v>49.695436399999998</v>
      </c>
      <c r="I238" s="28">
        <v>36.082649199999999</v>
      </c>
      <c r="J238" s="28">
        <v>993.43430699999999</v>
      </c>
      <c r="K238" s="28">
        <v>971.54322999999999</v>
      </c>
      <c r="L238" s="28">
        <v>5.0377028099999999</v>
      </c>
      <c r="M238" s="28">
        <v>104.475651</v>
      </c>
      <c r="N238" s="28">
        <v>53.641337399999998</v>
      </c>
      <c r="O238" s="28">
        <v>1007.54056</v>
      </c>
      <c r="P238" s="28">
        <v>992.45943699999998</v>
      </c>
    </row>
    <row r="239" spans="1:16" x14ac:dyDescent="0.25">
      <c r="A239" s="39">
        <v>0</v>
      </c>
      <c r="B239" s="39">
        <v>237</v>
      </c>
      <c r="C239" s="28">
        <v>12.8672629</v>
      </c>
      <c r="D239" s="28">
        <v>6.0383282200000004</v>
      </c>
      <c r="E239" s="28">
        <v>28.313348600000001</v>
      </c>
      <c r="F239" s="28">
        <v>21.9651636</v>
      </c>
      <c r="G239" s="28">
        <v>18.539062699999999</v>
      </c>
      <c r="H239" s="28">
        <v>50.290275000000001</v>
      </c>
      <c r="I239" s="28">
        <v>35.996179400000003</v>
      </c>
      <c r="J239" s="28">
        <v>993.40980200000001</v>
      </c>
      <c r="K239" s="28">
        <v>969.53533500000003</v>
      </c>
      <c r="L239" s="28">
        <v>5.0730023800000001</v>
      </c>
      <c r="M239" s="28">
        <v>104.87421000000001</v>
      </c>
      <c r="N239" s="28">
        <v>53.639456699999997</v>
      </c>
      <c r="O239" s="28">
        <v>1014.6004799999999</v>
      </c>
      <c r="P239" s="28">
        <v>985.39952400000004</v>
      </c>
    </row>
    <row r="240" spans="1:16" x14ac:dyDescent="0.25">
      <c r="A240" s="39">
        <v>0</v>
      </c>
      <c r="B240" s="39">
        <v>238</v>
      </c>
      <c r="C240" s="28">
        <v>12.910056300000001</v>
      </c>
      <c r="D240" s="28">
        <v>6.0251845599999996</v>
      </c>
      <c r="E240" s="28">
        <v>28.264206000000001</v>
      </c>
      <c r="F240" s="28">
        <v>21.987311699999999</v>
      </c>
      <c r="G240" s="28">
        <v>18.473997399999998</v>
      </c>
      <c r="H240" s="28">
        <v>50.091282</v>
      </c>
      <c r="I240" s="28">
        <v>35.912761099999997</v>
      </c>
      <c r="J240" s="28">
        <v>993.785526</v>
      </c>
      <c r="K240" s="28">
        <v>969.53328699999997</v>
      </c>
      <c r="L240" s="28">
        <v>5.0883530099999996</v>
      </c>
      <c r="M240" s="28">
        <v>104.39580100000001</v>
      </c>
      <c r="N240" s="28">
        <v>54.375464399999998</v>
      </c>
      <c r="O240" s="28">
        <v>1017.6706</v>
      </c>
      <c r="P240" s="28">
        <v>982.32939699999997</v>
      </c>
    </row>
    <row r="241" spans="1:16" x14ac:dyDescent="0.25">
      <c r="A241" s="39">
        <v>0</v>
      </c>
      <c r="B241" s="39">
        <v>239</v>
      </c>
      <c r="C241" s="28">
        <v>12.9468496</v>
      </c>
      <c r="D241" s="28">
        <v>6.0351182899999998</v>
      </c>
      <c r="E241" s="28">
        <v>28.481218399999999</v>
      </c>
      <c r="F241" s="28">
        <v>22.099435799999998</v>
      </c>
      <c r="G241" s="28">
        <v>18.580780900000001</v>
      </c>
      <c r="H241" s="28">
        <v>50.721580299999999</v>
      </c>
      <c r="I241" s="28">
        <v>35.898177799999999</v>
      </c>
      <c r="J241" s="28">
        <v>993.67163400000004</v>
      </c>
      <c r="K241" s="28">
        <v>969.11307399999998</v>
      </c>
      <c r="L241" s="28">
        <v>5.1138690499999999</v>
      </c>
      <c r="M241" s="28">
        <v>104.92300299999999</v>
      </c>
      <c r="N241" s="28">
        <v>54.514518600000002</v>
      </c>
      <c r="O241" s="28">
        <v>1022.77381</v>
      </c>
      <c r="P241" s="28">
        <v>977.22618899999998</v>
      </c>
    </row>
    <row r="242" spans="1:16" x14ac:dyDescent="0.25">
      <c r="A242" s="39">
        <v>0</v>
      </c>
      <c r="B242" s="39">
        <v>240</v>
      </c>
      <c r="C242" s="28">
        <v>12.947610600000001</v>
      </c>
      <c r="D242" s="28">
        <v>6.0541201400000002</v>
      </c>
      <c r="E242" s="28">
        <v>28.484707799999999</v>
      </c>
      <c r="F242" s="28">
        <v>22.095057099999998</v>
      </c>
      <c r="G242" s="28">
        <v>18.505986700000001</v>
      </c>
      <c r="H242" s="28">
        <v>50.930739199999998</v>
      </c>
      <c r="I242" s="28">
        <v>36.2007896</v>
      </c>
      <c r="J242" s="28">
        <v>993.45790399999998</v>
      </c>
      <c r="K242" s="28">
        <v>967.47615499999995</v>
      </c>
      <c r="L242" s="28">
        <v>5.1012259000000002</v>
      </c>
      <c r="M242" s="28">
        <v>105.120867</v>
      </c>
      <c r="N242" s="28">
        <v>53.551408799999997</v>
      </c>
      <c r="O242" s="28">
        <v>1020.24518</v>
      </c>
      <c r="P242" s="28">
        <v>979.75482</v>
      </c>
    </row>
    <row r="243" spans="1:16" x14ac:dyDescent="0.25">
      <c r="A243" s="39">
        <v>0</v>
      </c>
      <c r="B243" s="39">
        <v>241</v>
      </c>
      <c r="C243" s="28">
        <v>12.845622199999999</v>
      </c>
      <c r="D243" s="28">
        <v>6.1248117400000002</v>
      </c>
      <c r="E243" s="28">
        <v>28.733883299999999</v>
      </c>
      <c r="F243" s="28">
        <v>22.351025199999999</v>
      </c>
      <c r="G243" s="28">
        <v>18.620720200000001</v>
      </c>
      <c r="H243" s="28">
        <v>51.653001000000003</v>
      </c>
      <c r="I243" s="28">
        <v>36.7068108</v>
      </c>
      <c r="J243" s="28">
        <v>992.217761</v>
      </c>
      <c r="K243" s="28">
        <v>968.74702400000001</v>
      </c>
      <c r="L243" s="28">
        <v>5.0524287899999996</v>
      </c>
      <c r="M243" s="28">
        <v>105.86448300000001</v>
      </c>
      <c r="N243" s="28">
        <v>52.519610999999998</v>
      </c>
      <c r="O243" s="28">
        <v>1010.48576</v>
      </c>
      <c r="P243" s="28">
        <v>989.51424199999997</v>
      </c>
    </row>
    <row r="244" spans="1:16" x14ac:dyDescent="0.25">
      <c r="A244" s="39">
        <v>0</v>
      </c>
      <c r="B244" s="39">
        <v>242</v>
      </c>
      <c r="C244" s="28">
        <v>12.8875726</v>
      </c>
      <c r="D244" s="28">
        <v>6.1329602799999998</v>
      </c>
      <c r="E244" s="28">
        <v>28.737178</v>
      </c>
      <c r="F244" s="28">
        <v>22.336417600000001</v>
      </c>
      <c r="G244" s="28">
        <v>18.674126699999999</v>
      </c>
      <c r="H244" s="28">
        <v>50.720835800000003</v>
      </c>
      <c r="I244" s="28">
        <v>36.0689384</v>
      </c>
      <c r="J244" s="28">
        <v>992.86494900000002</v>
      </c>
      <c r="K244" s="28">
        <v>968.21254999999996</v>
      </c>
      <c r="L244" s="28">
        <v>5.0806938600000002</v>
      </c>
      <c r="M244" s="28">
        <v>105.596446</v>
      </c>
      <c r="N244" s="28">
        <v>52.565464900000002</v>
      </c>
      <c r="O244" s="28">
        <v>1016.13877</v>
      </c>
      <c r="P244" s="28">
        <v>983.86122899999998</v>
      </c>
    </row>
    <row r="245" spans="1:16" x14ac:dyDescent="0.25">
      <c r="A245" s="39">
        <v>0</v>
      </c>
      <c r="B245" s="39">
        <v>243</v>
      </c>
      <c r="C245" s="28">
        <v>12.991267799999999</v>
      </c>
      <c r="D245" s="28">
        <v>6.07062188</v>
      </c>
      <c r="E245" s="28">
        <v>28.528222</v>
      </c>
      <c r="F245" s="28">
        <v>22.2968698</v>
      </c>
      <c r="G245" s="28">
        <v>18.516837899999999</v>
      </c>
      <c r="H245" s="28">
        <v>50.8640039</v>
      </c>
      <c r="I245" s="28">
        <v>35.845565800000003</v>
      </c>
      <c r="J245" s="28">
        <v>994.17501000000004</v>
      </c>
      <c r="K245" s="28">
        <v>968.638374</v>
      </c>
      <c r="L245" s="28">
        <v>5.1243279099999999</v>
      </c>
      <c r="M245" s="28">
        <v>105.477301</v>
      </c>
      <c r="N245" s="28">
        <v>52.430240099999999</v>
      </c>
      <c r="O245" s="28">
        <v>1024.8655799999999</v>
      </c>
      <c r="P245" s="28">
        <v>975.13441799999998</v>
      </c>
    </row>
    <row r="246" spans="1:16" x14ac:dyDescent="0.25">
      <c r="A246" s="39">
        <v>0</v>
      </c>
      <c r="B246" s="39">
        <v>244</v>
      </c>
      <c r="C246" s="28">
        <v>13.0164616</v>
      </c>
      <c r="D246" s="28">
        <v>6.0868002499999996</v>
      </c>
      <c r="E246" s="28">
        <v>28.642803199999999</v>
      </c>
      <c r="F246" s="28">
        <v>22.3623926</v>
      </c>
      <c r="G246" s="28">
        <v>18.7642472</v>
      </c>
      <c r="H246" s="28">
        <v>50.782852400000003</v>
      </c>
      <c r="I246" s="28">
        <v>36.385060099999997</v>
      </c>
      <c r="J246" s="28">
        <v>993.83643600000005</v>
      </c>
      <c r="K246" s="28">
        <v>973.09001899999998</v>
      </c>
      <c r="L246" s="28">
        <v>5.1038007399999996</v>
      </c>
      <c r="M246" s="28">
        <v>106.384939</v>
      </c>
      <c r="N246" s="28">
        <v>52.134710300000002</v>
      </c>
      <c r="O246" s="28">
        <v>1020.76015</v>
      </c>
      <c r="P246" s="28">
        <v>979.23985200000004</v>
      </c>
    </row>
    <row r="247" spans="1:16" x14ac:dyDescent="0.25">
      <c r="A247" s="39">
        <v>0</v>
      </c>
      <c r="B247" s="39">
        <v>245</v>
      </c>
      <c r="C247" s="28">
        <v>12.987715400000001</v>
      </c>
      <c r="D247" s="28">
        <v>6.0622172399999998</v>
      </c>
      <c r="E247" s="28">
        <v>28.357450700000001</v>
      </c>
      <c r="F247" s="28">
        <v>22.136792199999999</v>
      </c>
      <c r="G247" s="28">
        <v>18.816547799999999</v>
      </c>
      <c r="H247" s="28">
        <v>50.856232400000003</v>
      </c>
      <c r="I247" s="28">
        <v>36.6356246</v>
      </c>
      <c r="J247" s="28">
        <v>994.90714700000001</v>
      </c>
      <c r="K247" s="28">
        <v>973.37831200000005</v>
      </c>
      <c r="L247" s="28">
        <v>5.0846574799999997</v>
      </c>
      <c r="M247" s="28">
        <v>106.023629</v>
      </c>
      <c r="N247" s="28">
        <v>52.220845500000003</v>
      </c>
      <c r="O247" s="28">
        <v>1016.9315</v>
      </c>
      <c r="P247" s="28">
        <v>983.06850299999996</v>
      </c>
    </row>
    <row r="248" spans="1:16" x14ac:dyDescent="0.25">
      <c r="A248" s="39">
        <v>0</v>
      </c>
      <c r="B248" s="39">
        <v>246</v>
      </c>
      <c r="C248" s="28">
        <v>12.9098451</v>
      </c>
      <c r="D248" s="28">
        <v>6.0298508599999998</v>
      </c>
      <c r="E248" s="28">
        <v>28.341003499999999</v>
      </c>
      <c r="F248" s="28">
        <v>22.070782399999999</v>
      </c>
      <c r="G248" s="28">
        <v>18.7752923</v>
      </c>
      <c r="H248" s="28">
        <v>51.022988400000003</v>
      </c>
      <c r="I248" s="28">
        <v>36.339841800000002</v>
      </c>
      <c r="J248" s="28">
        <v>995.73487999999998</v>
      </c>
      <c r="K248" s="28">
        <v>974.31261600000005</v>
      </c>
      <c r="L248" s="28">
        <v>5.0905960400000003</v>
      </c>
      <c r="M248" s="28">
        <v>105.93058499999999</v>
      </c>
      <c r="N248" s="28">
        <v>52.7739172</v>
      </c>
      <c r="O248" s="28">
        <v>1018.11921</v>
      </c>
      <c r="P248" s="28">
        <v>981.88079300000004</v>
      </c>
    </row>
    <row r="249" spans="1:16" x14ac:dyDescent="0.25">
      <c r="A249" s="39">
        <v>0</v>
      </c>
      <c r="B249" s="39">
        <v>247</v>
      </c>
      <c r="C249" s="28">
        <v>12.861901700000001</v>
      </c>
      <c r="D249" s="28">
        <v>6.0380724499999996</v>
      </c>
      <c r="E249" s="28">
        <v>28.106017699999999</v>
      </c>
      <c r="F249" s="28">
        <v>22.040241999999999</v>
      </c>
      <c r="G249" s="28">
        <v>18.311660100000001</v>
      </c>
      <c r="H249" s="28">
        <v>50.658193699999998</v>
      </c>
      <c r="I249" s="28">
        <v>36.131143100000003</v>
      </c>
      <c r="J249" s="28">
        <v>996.49978199999998</v>
      </c>
      <c r="K249" s="28">
        <v>974.48069799999996</v>
      </c>
      <c r="L249" s="28">
        <v>5.1101354299999997</v>
      </c>
      <c r="M249" s="28">
        <v>105.157184</v>
      </c>
      <c r="N249" s="28">
        <v>53.001744899999998</v>
      </c>
      <c r="O249" s="28">
        <v>1022.02709</v>
      </c>
      <c r="P249" s="28">
        <v>977.97291399999995</v>
      </c>
    </row>
    <row r="250" spans="1:16" x14ac:dyDescent="0.25">
      <c r="A250" s="39">
        <v>0</v>
      </c>
      <c r="B250" s="39">
        <v>248</v>
      </c>
      <c r="C250" s="28">
        <v>12.800902799999999</v>
      </c>
      <c r="D250" s="28">
        <v>6.0018088399999998</v>
      </c>
      <c r="E250" s="28">
        <v>27.846428199999998</v>
      </c>
      <c r="F250" s="28">
        <v>21.8599675</v>
      </c>
      <c r="G250" s="28">
        <v>18.134308499999999</v>
      </c>
      <c r="H250" s="28">
        <v>51.045796699999997</v>
      </c>
      <c r="I250" s="28">
        <v>35.539315000000002</v>
      </c>
      <c r="J250" s="28">
        <v>997.63972100000001</v>
      </c>
      <c r="K250" s="28">
        <v>974.40782799999999</v>
      </c>
      <c r="L250" s="28">
        <v>5.1200716000000002</v>
      </c>
      <c r="M250" s="28">
        <v>104.60404</v>
      </c>
      <c r="N250" s="28">
        <v>53.046215599999996</v>
      </c>
      <c r="O250" s="28">
        <v>1024.01432</v>
      </c>
      <c r="P250" s="28">
        <v>975.98568</v>
      </c>
    </row>
    <row r="251" spans="1:16" x14ac:dyDescent="0.25">
      <c r="A251" s="39">
        <v>0</v>
      </c>
      <c r="B251" s="39">
        <v>249</v>
      </c>
      <c r="C251" s="28">
        <v>12.8925945</v>
      </c>
      <c r="D251" s="28">
        <v>5.9984918699999996</v>
      </c>
      <c r="E251" s="28">
        <v>28.2711699</v>
      </c>
      <c r="F251" s="28">
        <v>21.818829300000001</v>
      </c>
      <c r="G251" s="28">
        <v>18.497094799999999</v>
      </c>
      <c r="H251" s="28">
        <v>50.9229834</v>
      </c>
      <c r="I251" s="28">
        <v>35.3881424</v>
      </c>
      <c r="J251" s="28">
        <v>998.05635199999995</v>
      </c>
      <c r="K251" s="28">
        <v>978.22312199999999</v>
      </c>
      <c r="L251" s="28">
        <v>5.0744401899999998</v>
      </c>
      <c r="M251" s="28">
        <v>104.779976</v>
      </c>
      <c r="N251" s="28">
        <v>52.556749199999999</v>
      </c>
      <c r="O251" s="28">
        <v>1014.88804</v>
      </c>
      <c r="P251" s="28">
        <v>985.11196199999995</v>
      </c>
    </row>
    <row r="252" spans="1:16" x14ac:dyDescent="0.25">
      <c r="A252" s="39">
        <v>0</v>
      </c>
      <c r="B252" s="39">
        <v>250</v>
      </c>
      <c r="C252" s="28">
        <v>12.8703939</v>
      </c>
      <c r="D252" s="28">
        <v>5.97840755</v>
      </c>
      <c r="E252" s="28">
        <v>28.241492399999998</v>
      </c>
      <c r="F252" s="28">
        <v>21.810318899999999</v>
      </c>
      <c r="G252" s="28">
        <v>18.539064100000001</v>
      </c>
      <c r="H252" s="28">
        <v>50.159356799999998</v>
      </c>
      <c r="I252" s="28">
        <v>35.490940500000001</v>
      </c>
      <c r="J252" s="28">
        <v>998.83977500000003</v>
      </c>
      <c r="K252" s="28">
        <v>976.31630800000005</v>
      </c>
      <c r="L252" s="28">
        <v>5.0452389799999997</v>
      </c>
      <c r="M252" s="28">
        <v>104.679945</v>
      </c>
      <c r="N252" s="28">
        <v>52.730063600000001</v>
      </c>
      <c r="O252" s="28">
        <v>1009.0478000000001</v>
      </c>
      <c r="P252" s="28">
        <v>990.95220300000005</v>
      </c>
    </row>
    <row r="253" spans="1:16" x14ac:dyDescent="0.25">
      <c r="A253" s="39">
        <v>0</v>
      </c>
      <c r="B253" s="39">
        <v>251</v>
      </c>
      <c r="C253" s="28">
        <v>12.9706577</v>
      </c>
      <c r="D253" s="28">
        <v>5.9604787699999999</v>
      </c>
      <c r="E253" s="28">
        <v>28.428470600000001</v>
      </c>
      <c r="F253" s="28">
        <v>21.959187100000001</v>
      </c>
      <c r="G253" s="28">
        <v>18.432569900000001</v>
      </c>
      <c r="H253" s="28">
        <v>49.663529099999998</v>
      </c>
      <c r="I253" s="28">
        <v>35.088323600000003</v>
      </c>
      <c r="J253" s="28">
        <v>999.45135600000003</v>
      </c>
      <c r="K253" s="28">
        <v>971.57048799999995</v>
      </c>
      <c r="L253" s="28">
        <v>5.0247488499999999</v>
      </c>
      <c r="M253" s="28">
        <v>104.819957</v>
      </c>
      <c r="N253" s="28">
        <v>51.9203209</v>
      </c>
      <c r="O253" s="28">
        <v>1004.9497699999999</v>
      </c>
      <c r="P253" s="28">
        <v>995.05022899999994</v>
      </c>
    </row>
    <row r="254" spans="1:16" x14ac:dyDescent="0.25">
      <c r="A254" s="39">
        <v>0</v>
      </c>
      <c r="B254" s="39">
        <v>252</v>
      </c>
      <c r="C254" s="28">
        <v>12.9330078</v>
      </c>
      <c r="D254" s="28">
        <v>6.0203797699999999</v>
      </c>
      <c r="E254" s="28">
        <v>28.410492999999999</v>
      </c>
      <c r="F254" s="28">
        <v>21.853603499999998</v>
      </c>
      <c r="G254" s="28">
        <v>18.4369522</v>
      </c>
      <c r="H254" s="28">
        <v>49.882967000000001</v>
      </c>
      <c r="I254" s="28">
        <v>35.400767000000002</v>
      </c>
      <c r="J254" s="28">
        <v>998.96331899999996</v>
      </c>
      <c r="K254" s="28">
        <v>966.38084300000003</v>
      </c>
      <c r="L254" s="28">
        <v>4.9960550799999996</v>
      </c>
      <c r="M254" s="28">
        <v>104.637861</v>
      </c>
      <c r="N254" s="28">
        <v>51.594462900000003</v>
      </c>
      <c r="O254" s="28">
        <v>999.21101499999997</v>
      </c>
      <c r="P254" s="28">
        <v>1000.78898</v>
      </c>
    </row>
    <row r="255" spans="1:16" x14ac:dyDescent="0.25">
      <c r="A255" s="40">
        <v>1</v>
      </c>
      <c r="B255" s="40">
        <v>1</v>
      </c>
      <c r="C255" s="28">
        <v>12.866369600000001</v>
      </c>
      <c r="D255" s="28">
        <v>6.0114408099999999</v>
      </c>
      <c r="E255" s="28">
        <v>28.031168099999999</v>
      </c>
      <c r="F255" s="28">
        <v>21.848976100000002</v>
      </c>
      <c r="G255" s="28">
        <v>18.160831699999999</v>
      </c>
      <c r="H255" s="28">
        <v>50.139271800000003</v>
      </c>
      <c r="I255" s="28">
        <v>34.743313999999998</v>
      </c>
      <c r="J255" s="28">
        <v>980.70359900000005</v>
      </c>
      <c r="K255" s="28">
        <v>947.701819</v>
      </c>
      <c r="L255" s="28">
        <v>4.9901635899999999</v>
      </c>
      <c r="M255" s="28">
        <v>103.60120499999999</v>
      </c>
      <c r="N255" s="28">
        <v>51.956041300000003</v>
      </c>
      <c r="O255" s="28">
        <v>998.82077300000003</v>
      </c>
      <c r="P255" s="28">
        <v>1001.17923</v>
      </c>
    </row>
    <row r="256" spans="1:16" x14ac:dyDescent="0.25">
      <c r="A256" s="40">
        <v>1</v>
      </c>
      <c r="B256" s="40">
        <v>2</v>
      </c>
      <c r="C256" s="28">
        <v>12.8888181</v>
      </c>
      <c r="D256" s="28">
        <v>6.0241713399999997</v>
      </c>
      <c r="E256" s="28">
        <v>28.331408400000001</v>
      </c>
      <c r="F256" s="28">
        <v>22.104599400000001</v>
      </c>
      <c r="G256" s="28">
        <v>18.215484799999999</v>
      </c>
      <c r="H256" s="28">
        <v>51.043901200000001</v>
      </c>
      <c r="I256" s="28">
        <v>34.752750300000002</v>
      </c>
      <c r="J256" s="28">
        <v>973.14760200000001</v>
      </c>
      <c r="K256" s="28">
        <v>943.31683099999998</v>
      </c>
      <c r="L256" s="28">
        <v>4.99349328</v>
      </c>
      <c r="M256" s="28">
        <v>104.37975</v>
      </c>
      <c r="N256" s="28">
        <v>51.986676699999997</v>
      </c>
      <c r="O256" s="28">
        <v>999.48723500000006</v>
      </c>
      <c r="P256" s="28">
        <v>1000.51276</v>
      </c>
    </row>
    <row r="257" spans="1:16" x14ac:dyDescent="0.25">
      <c r="A257" s="40">
        <v>1</v>
      </c>
      <c r="B257" s="40">
        <v>3</v>
      </c>
      <c r="C257" s="28">
        <v>12.8815917</v>
      </c>
      <c r="D257" s="28">
        <v>6.0220348899999996</v>
      </c>
      <c r="E257" s="28">
        <v>28.205148999999999</v>
      </c>
      <c r="F257" s="28">
        <v>22.146514</v>
      </c>
      <c r="G257" s="28">
        <v>18.236058799999999</v>
      </c>
      <c r="H257" s="28">
        <v>51.147554300000003</v>
      </c>
      <c r="I257" s="28">
        <v>34.646767599999997</v>
      </c>
      <c r="J257" s="28">
        <v>980.35376699999995</v>
      </c>
      <c r="K257" s="28">
        <v>948.99563899999998</v>
      </c>
      <c r="L257" s="28">
        <v>4.9958242500000001</v>
      </c>
      <c r="M257" s="28">
        <v>104.27918200000001</v>
      </c>
      <c r="N257" s="28">
        <v>52.083454099999997</v>
      </c>
      <c r="O257" s="28">
        <v>999.953799</v>
      </c>
      <c r="P257" s="28">
        <v>1000.0462</v>
      </c>
    </row>
    <row r="258" spans="1:16" x14ac:dyDescent="0.25">
      <c r="A258" s="40">
        <v>1</v>
      </c>
      <c r="B258" s="40">
        <v>4</v>
      </c>
      <c r="C258" s="28">
        <v>12.8086968</v>
      </c>
      <c r="D258" s="28">
        <v>6.06169081</v>
      </c>
      <c r="E258" s="28">
        <v>28.449391200000001</v>
      </c>
      <c r="F258" s="28">
        <v>22.378809100000002</v>
      </c>
      <c r="G258" s="28">
        <v>18.3860876</v>
      </c>
      <c r="H258" s="28">
        <v>51.925339999999998</v>
      </c>
      <c r="I258" s="28">
        <v>34.9680611</v>
      </c>
      <c r="J258" s="28">
        <v>973.33401700000002</v>
      </c>
      <c r="K258" s="28">
        <v>939.85242400000004</v>
      </c>
      <c r="L258" s="28">
        <v>4.9755179900000002</v>
      </c>
      <c r="M258" s="28">
        <v>104.982856</v>
      </c>
      <c r="N258" s="28">
        <v>51.656320100000002</v>
      </c>
      <c r="O258" s="28">
        <v>995.88933899999995</v>
      </c>
      <c r="P258" s="28">
        <v>1004.1106600000001</v>
      </c>
    </row>
    <row r="259" spans="1:16" x14ac:dyDescent="0.25">
      <c r="A259" s="40">
        <v>1</v>
      </c>
      <c r="B259" s="40">
        <v>5</v>
      </c>
      <c r="C259" s="28">
        <v>12.7587467</v>
      </c>
      <c r="D259" s="28">
        <v>6.0980602099999999</v>
      </c>
      <c r="E259" s="28">
        <v>28.885614</v>
      </c>
      <c r="F259" s="28">
        <v>22.4550543</v>
      </c>
      <c r="G259" s="28">
        <v>18.543346499999998</v>
      </c>
      <c r="H259" s="28">
        <v>51.954510399999997</v>
      </c>
      <c r="I259" s="28">
        <v>35.334259899999999</v>
      </c>
      <c r="J259" s="28">
        <v>978.54784800000004</v>
      </c>
      <c r="K259" s="28">
        <v>948.91947100000004</v>
      </c>
      <c r="L259" s="28">
        <v>4.9557031499999997</v>
      </c>
      <c r="M259" s="28">
        <v>105.570052</v>
      </c>
      <c r="N259" s="28">
        <v>51.873845899999999</v>
      </c>
      <c r="O259" s="28">
        <v>991.92324199999996</v>
      </c>
      <c r="P259" s="28">
        <v>1008.07676</v>
      </c>
    </row>
    <row r="260" spans="1:16" x14ac:dyDescent="0.25">
      <c r="A260" s="40">
        <v>1</v>
      </c>
      <c r="B260" s="40">
        <v>6</v>
      </c>
      <c r="C260" s="28">
        <v>12.835140000000001</v>
      </c>
      <c r="D260" s="28">
        <v>6.1430577900000003</v>
      </c>
      <c r="E260" s="28">
        <v>29.223785599999999</v>
      </c>
      <c r="F260" s="28">
        <v>22.586523499999998</v>
      </c>
      <c r="G260" s="28">
        <v>18.617432999999998</v>
      </c>
      <c r="H260" s="28">
        <v>52.552842599999998</v>
      </c>
      <c r="I260" s="28">
        <v>35.555746399999997</v>
      </c>
      <c r="J260" s="28">
        <v>972.20190200000002</v>
      </c>
      <c r="K260" s="28">
        <v>939.79837799999996</v>
      </c>
      <c r="L260" s="28">
        <v>5.0029210099999997</v>
      </c>
      <c r="M260" s="28">
        <v>106.242079</v>
      </c>
      <c r="N260" s="28">
        <v>52.033383499999999</v>
      </c>
      <c r="O260" s="28">
        <v>1001.37427</v>
      </c>
      <c r="P260" s="28">
        <v>998.62572799999998</v>
      </c>
    </row>
    <row r="261" spans="1:16" x14ac:dyDescent="0.25">
      <c r="A261" s="40">
        <v>1</v>
      </c>
      <c r="B261" s="40">
        <v>7</v>
      </c>
      <c r="C261" s="28">
        <v>12.841606000000001</v>
      </c>
      <c r="D261" s="28">
        <v>6.1443774800000002</v>
      </c>
      <c r="E261" s="28">
        <v>29.3505483</v>
      </c>
      <c r="F261" s="28">
        <v>22.596523999999999</v>
      </c>
      <c r="G261" s="28">
        <v>18.627229499999999</v>
      </c>
      <c r="H261" s="28">
        <v>51.814145500000002</v>
      </c>
      <c r="I261" s="28">
        <v>35.516306800000002</v>
      </c>
      <c r="J261" s="28">
        <v>978.18649600000003</v>
      </c>
      <c r="K261" s="28">
        <v>938.923271</v>
      </c>
      <c r="L261" s="28">
        <v>5.0371888399999998</v>
      </c>
      <c r="M261" s="28">
        <v>105.7475</v>
      </c>
      <c r="N261" s="28">
        <v>51.400655</v>
      </c>
      <c r="O261" s="28">
        <v>1008.23325</v>
      </c>
      <c r="P261" s="28">
        <v>991.766751</v>
      </c>
    </row>
    <row r="262" spans="1:16" x14ac:dyDescent="0.25">
      <c r="A262" s="40">
        <v>1</v>
      </c>
      <c r="B262" s="40">
        <v>8</v>
      </c>
      <c r="C262" s="28">
        <v>12.8819017</v>
      </c>
      <c r="D262" s="28">
        <v>6.2213179399999996</v>
      </c>
      <c r="E262" s="28">
        <v>29.218401100000001</v>
      </c>
      <c r="F262" s="28">
        <v>22.708325599999998</v>
      </c>
      <c r="G262" s="28">
        <v>18.7365642</v>
      </c>
      <c r="H262" s="28">
        <v>51.687268600000003</v>
      </c>
      <c r="I262" s="28">
        <v>35.759058500000002</v>
      </c>
      <c r="J262" s="28">
        <v>972.02450399999998</v>
      </c>
      <c r="K262" s="28">
        <v>931.531158</v>
      </c>
      <c r="L262" s="28">
        <v>4.9956588799999997</v>
      </c>
      <c r="M262" s="28">
        <v>105.977565</v>
      </c>
      <c r="N262" s="28">
        <v>50.798044900000001</v>
      </c>
      <c r="O262" s="28">
        <v>999.92069700000002</v>
      </c>
      <c r="P262" s="28">
        <v>1000.0793</v>
      </c>
    </row>
    <row r="263" spans="1:16" x14ac:dyDescent="0.25">
      <c r="A263" s="40">
        <v>1</v>
      </c>
      <c r="B263" s="40">
        <v>9</v>
      </c>
      <c r="C263" s="28">
        <v>12.9304512</v>
      </c>
      <c r="D263" s="28">
        <v>6.2340654000000004</v>
      </c>
      <c r="E263" s="28">
        <v>29.369886999999999</v>
      </c>
      <c r="F263" s="28">
        <v>22.7620997</v>
      </c>
      <c r="G263" s="28">
        <v>18.830998000000001</v>
      </c>
      <c r="H263" s="28">
        <v>51.866485400000002</v>
      </c>
      <c r="I263" s="28">
        <v>35.4707978</v>
      </c>
      <c r="J263" s="28">
        <v>977.57725500000004</v>
      </c>
      <c r="K263" s="28">
        <v>931.86174100000005</v>
      </c>
      <c r="L263" s="28">
        <v>4.8592804300000001</v>
      </c>
      <c r="M263" s="28">
        <v>106.311194</v>
      </c>
      <c r="N263" s="28">
        <v>50.719805999999998</v>
      </c>
      <c r="O263" s="28">
        <v>972.62347</v>
      </c>
      <c r="P263" s="28">
        <v>1027.37653</v>
      </c>
    </row>
    <row r="264" spans="1:16" x14ac:dyDescent="0.25">
      <c r="A264" s="40">
        <v>1</v>
      </c>
      <c r="B264" s="40">
        <v>10</v>
      </c>
      <c r="C264" s="28">
        <v>12.9156671</v>
      </c>
      <c r="D264" s="28">
        <v>6.1761861199999997</v>
      </c>
      <c r="E264" s="28">
        <v>29.394551</v>
      </c>
      <c r="F264" s="28">
        <v>22.688992299999999</v>
      </c>
      <c r="G264" s="28">
        <v>18.590291400000002</v>
      </c>
      <c r="H264" s="28">
        <v>51.199719100000003</v>
      </c>
      <c r="I264" s="28">
        <v>35.262669799999998</v>
      </c>
      <c r="J264" s="28">
        <v>972.78591600000004</v>
      </c>
      <c r="K264" s="28">
        <v>925.93549399999995</v>
      </c>
      <c r="L264" s="28">
        <v>4.8220872799999999</v>
      </c>
      <c r="M264" s="28">
        <v>105.47945300000001</v>
      </c>
      <c r="N264" s="28">
        <v>50.051205299999999</v>
      </c>
      <c r="O264" s="28">
        <v>965.17896699999994</v>
      </c>
      <c r="P264" s="28">
        <v>1034.8210300000001</v>
      </c>
    </row>
    <row r="265" spans="1:16" x14ac:dyDescent="0.25">
      <c r="A265" s="40">
        <v>1</v>
      </c>
      <c r="B265" s="40">
        <v>11</v>
      </c>
      <c r="C265" s="28">
        <v>12.9734512</v>
      </c>
      <c r="D265" s="28">
        <v>6.1485928899999998</v>
      </c>
      <c r="E265" s="28">
        <v>29.397434700000002</v>
      </c>
      <c r="F265" s="28">
        <v>22.7486982</v>
      </c>
      <c r="G265" s="28">
        <v>18.720455699999999</v>
      </c>
      <c r="H265" s="28">
        <v>51.781319400000001</v>
      </c>
      <c r="I265" s="28">
        <v>35.522992299999999</v>
      </c>
      <c r="J265" s="28">
        <v>978.63583700000004</v>
      </c>
      <c r="K265" s="28">
        <v>927.78245200000003</v>
      </c>
      <c r="L265" s="28">
        <v>4.8334292100000003</v>
      </c>
      <c r="M265" s="28">
        <v>105.805651</v>
      </c>
      <c r="N265" s="28">
        <v>50.567989900000001</v>
      </c>
      <c r="O265" s="28">
        <v>967.44914400000005</v>
      </c>
      <c r="P265" s="28">
        <v>1032.5508600000001</v>
      </c>
    </row>
    <row r="266" spans="1:16" x14ac:dyDescent="0.25">
      <c r="A266" s="40">
        <v>1</v>
      </c>
      <c r="B266" s="40">
        <v>12</v>
      </c>
      <c r="C266" s="28">
        <v>12.9681818</v>
      </c>
      <c r="D266" s="28">
        <v>6.1661253299999998</v>
      </c>
      <c r="E266" s="28">
        <v>29.567841999999999</v>
      </c>
      <c r="F266" s="28">
        <v>22.8358135</v>
      </c>
      <c r="G266" s="28">
        <v>18.617624599999999</v>
      </c>
      <c r="H266" s="28">
        <v>52.072483499999997</v>
      </c>
      <c r="I266" s="28">
        <v>35.541851600000001</v>
      </c>
      <c r="J266" s="28">
        <v>973.46361200000001</v>
      </c>
      <c r="K266" s="28">
        <v>932.442183</v>
      </c>
      <c r="L266" s="28">
        <v>4.8311095699999997</v>
      </c>
      <c r="M266" s="28">
        <v>105.986339</v>
      </c>
      <c r="N266" s="28">
        <v>50.6442221</v>
      </c>
      <c r="O266" s="28">
        <v>966.98485000000005</v>
      </c>
      <c r="P266" s="28">
        <v>1033.0151499999999</v>
      </c>
    </row>
    <row r="267" spans="1:16" x14ac:dyDescent="0.25">
      <c r="A267" s="40">
        <v>1</v>
      </c>
      <c r="B267" s="40">
        <v>13</v>
      </c>
      <c r="C267" s="28">
        <v>12.988620600000001</v>
      </c>
      <c r="D267" s="28">
        <v>6.1928268099999997</v>
      </c>
      <c r="E267" s="28">
        <v>29.676110099999999</v>
      </c>
      <c r="F267" s="28">
        <v>22.753390400000001</v>
      </c>
      <c r="G267" s="28">
        <v>18.832488699999999</v>
      </c>
      <c r="H267" s="28">
        <v>52.601770100000003</v>
      </c>
      <c r="I267" s="28">
        <v>36.290332900000003</v>
      </c>
      <c r="J267" s="28">
        <v>977.91458599999999</v>
      </c>
      <c r="K267" s="28">
        <v>931.46063000000004</v>
      </c>
      <c r="L267" s="28">
        <v>4.8378497200000004</v>
      </c>
      <c r="M267" s="28">
        <v>106.753473</v>
      </c>
      <c r="N267" s="28">
        <v>50.869752900000002</v>
      </c>
      <c r="O267" s="28">
        <v>968.33394399999997</v>
      </c>
      <c r="P267" s="28">
        <v>1031.66606</v>
      </c>
    </row>
    <row r="268" spans="1:16" x14ac:dyDescent="0.25">
      <c r="A268" s="40">
        <v>1</v>
      </c>
      <c r="B268" s="40">
        <v>14</v>
      </c>
      <c r="C268" s="28">
        <v>13.1496228</v>
      </c>
      <c r="D268" s="28">
        <v>6.1397232300000004</v>
      </c>
      <c r="E268" s="28">
        <v>29.739284999999999</v>
      </c>
      <c r="F268" s="28">
        <v>22.880323099999998</v>
      </c>
      <c r="G268" s="28">
        <v>18.726165999999999</v>
      </c>
      <c r="H268" s="28">
        <v>52.629395700000003</v>
      </c>
      <c r="I268" s="28">
        <v>36.155766100000001</v>
      </c>
      <c r="J268" s="28">
        <v>974.19205699999998</v>
      </c>
      <c r="K268" s="28">
        <v>930.35782900000004</v>
      </c>
      <c r="L268" s="28">
        <v>4.8372034599999996</v>
      </c>
      <c r="M268" s="28">
        <v>106.700413</v>
      </c>
      <c r="N268" s="28">
        <v>50.313824799999999</v>
      </c>
      <c r="O268" s="28">
        <v>968.20459100000005</v>
      </c>
      <c r="P268" s="28">
        <v>1031.7954099999999</v>
      </c>
    </row>
    <row r="269" spans="1:16" x14ac:dyDescent="0.25">
      <c r="A269" s="40">
        <v>1</v>
      </c>
      <c r="B269" s="40">
        <v>15</v>
      </c>
      <c r="C269" s="28">
        <v>13.169898699999999</v>
      </c>
      <c r="D269" s="28">
        <v>6.0870575000000002</v>
      </c>
      <c r="E269" s="28">
        <v>29.450153400000001</v>
      </c>
      <c r="F269" s="28">
        <v>22.598881299999999</v>
      </c>
      <c r="G269" s="28">
        <v>18.799908800000001</v>
      </c>
      <c r="H269" s="28">
        <v>52.1818381</v>
      </c>
      <c r="I269" s="28">
        <v>36.221708700000001</v>
      </c>
      <c r="J269" s="28">
        <v>979.52728200000001</v>
      </c>
      <c r="K269" s="28">
        <v>937.27110100000004</v>
      </c>
      <c r="L269" s="28">
        <v>4.8326862100000003</v>
      </c>
      <c r="M269" s="28">
        <v>106.402439</v>
      </c>
      <c r="N269" s="28">
        <v>50.733525299999997</v>
      </c>
      <c r="O269" s="28">
        <v>967.30042600000002</v>
      </c>
      <c r="P269" s="28">
        <v>1032.69957</v>
      </c>
    </row>
    <row r="270" spans="1:16" x14ac:dyDescent="0.25">
      <c r="A270" s="40">
        <v>1</v>
      </c>
      <c r="B270" s="40">
        <v>16</v>
      </c>
      <c r="C270" s="28">
        <v>13.1253528</v>
      </c>
      <c r="D270" s="28">
        <v>6.0515692200000002</v>
      </c>
      <c r="E270" s="28">
        <v>29.6108805</v>
      </c>
      <c r="F270" s="28">
        <v>22.746080200000002</v>
      </c>
      <c r="G270" s="28">
        <v>18.839349200000001</v>
      </c>
      <c r="H270" s="28">
        <v>52.433508199999999</v>
      </c>
      <c r="I270" s="28">
        <v>36.657968599999997</v>
      </c>
      <c r="J270" s="28">
        <v>974.44903999999997</v>
      </c>
      <c r="K270" s="28">
        <v>931.46992299999999</v>
      </c>
      <c r="L270" s="28">
        <v>4.8767205499999999</v>
      </c>
      <c r="M270" s="28">
        <v>106.539444</v>
      </c>
      <c r="N270" s="28">
        <v>51.877091499999999</v>
      </c>
      <c r="O270" s="28">
        <v>976.11424899999997</v>
      </c>
      <c r="P270" s="28">
        <v>1023.88575</v>
      </c>
    </row>
    <row r="271" spans="1:16" x14ac:dyDescent="0.25">
      <c r="A271" s="40">
        <v>1</v>
      </c>
      <c r="B271" s="40">
        <v>17</v>
      </c>
      <c r="C271" s="28">
        <v>13.1136211</v>
      </c>
      <c r="D271" s="28">
        <v>6.0463736099999998</v>
      </c>
      <c r="E271" s="28">
        <v>29.484857999999999</v>
      </c>
      <c r="F271" s="28">
        <v>22.746903400000001</v>
      </c>
      <c r="G271" s="28">
        <v>18.883944499999998</v>
      </c>
      <c r="H271" s="28">
        <v>52.140515100000002</v>
      </c>
      <c r="I271" s="28">
        <v>36.0531316</v>
      </c>
      <c r="J271" s="28">
        <v>979.58149200000003</v>
      </c>
      <c r="K271" s="28">
        <v>931.05480399999999</v>
      </c>
      <c r="L271" s="28">
        <v>4.8484264799999996</v>
      </c>
      <c r="M271" s="28">
        <v>106.021143</v>
      </c>
      <c r="N271" s="28">
        <v>51.535258599999999</v>
      </c>
      <c r="O271" s="28">
        <v>970.45096699999999</v>
      </c>
      <c r="P271" s="28">
        <v>1029.5490299999999</v>
      </c>
    </row>
    <row r="272" spans="1:16" x14ac:dyDescent="0.25">
      <c r="A272" s="40">
        <v>1</v>
      </c>
      <c r="B272" s="40">
        <v>18</v>
      </c>
      <c r="C272" s="28">
        <v>13.006289900000001</v>
      </c>
      <c r="D272" s="28">
        <v>6.0126053300000004</v>
      </c>
      <c r="E272" s="28">
        <v>29.291748699999999</v>
      </c>
      <c r="F272" s="28">
        <v>22.913664700000002</v>
      </c>
      <c r="G272" s="28">
        <v>18.768773199999998</v>
      </c>
      <c r="H272" s="28">
        <v>52.249852500000003</v>
      </c>
      <c r="I272" s="28">
        <v>35.790330699999998</v>
      </c>
      <c r="J272" s="28">
        <v>975.553538</v>
      </c>
      <c r="K272" s="28">
        <v>930.07134399999995</v>
      </c>
      <c r="L272" s="28">
        <v>4.8852119800000002</v>
      </c>
      <c r="M272" s="28">
        <v>105.676857</v>
      </c>
      <c r="N272" s="28">
        <v>50.842348299999998</v>
      </c>
      <c r="O272" s="28">
        <v>977.81387600000005</v>
      </c>
      <c r="P272" s="28">
        <v>1022.18612</v>
      </c>
    </row>
    <row r="273" spans="1:16" x14ac:dyDescent="0.25">
      <c r="A273" s="40">
        <v>1</v>
      </c>
      <c r="B273" s="40">
        <v>19</v>
      </c>
      <c r="C273" s="28">
        <v>12.9668712</v>
      </c>
      <c r="D273" s="28">
        <v>6.0561991900000001</v>
      </c>
      <c r="E273" s="28">
        <v>29.426114500000001</v>
      </c>
      <c r="F273" s="28">
        <v>23.0101704</v>
      </c>
      <c r="G273" s="28">
        <v>18.914588200000001</v>
      </c>
      <c r="H273" s="28">
        <v>52.700331599999998</v>
      </c>
      <c r="I273" s="28">
        <v>35.886264099999998</v>
      </c>
      <c r="J273" s="28">
        <v>979.97628699999996</v>
      </c>
      <c r="K273" s="28">
        <v>929.84726499999999</v>
      </c>
      <c r="L273" s="28">
        <v>4.8561305600000004</v>
      </c>
      <c r="M273" s="28">
        <v>106.26951200000001</v>
      </c>
      <c r="N273" s="28">
        <v>50.750369399999997</v>
      </c>
      <c r="O273" s="28">
        <v>971.99300000000005</v>
      </c>
      <c r="P273" s="28">
        <v>1028.0070000000001</v>
      </c>
    </row>
    <row r="274" spans="1:16" x14ac:dyDescent="0.25">
      <c r="A274" s="40">
        <v>1</v>
      </c>
      <c r="B274" s="40">
        <v>20</v>
      </c>
      <c r="C274" s="28">
        <v>12.991653899999999</v>
      </c>
      <c r="D274" s="28">
        <v>6.0271828899999997</v>
      </c>
      <c r="E274" s="28">
        <v>29.312236299999999</v>
      </c>
      <c r="F274" s="28">
        <v>23.166991599999999</v>
      </c>
      <c r="G274" s="28">
        <v>18.887425700000001</v>
      </c>
      <c r="H274" s="28">
        <v>52.790872299999997</v>
      </c>
      <c r="I274" s="28">
        <v>35.921457699999998</v>
      </c>
      <c r="J274" s="28">
        <v>976.00367800000004</v>
      </c>
      <c r="K274" s="28">
        <v>924.43868699999996</v>
      </c>
      <c r="L274" s="28">
        <v>4.8639772700000004</v>
      </c>
      <c r="M274" s="28">
        <v>106.476333</v>
      </c>
      <c r="N274" s="28">
        <v>50.406326800000002</v>
      </c>
      <c r="O274" s="28">
        <v>973.56358</v>
      </c>
      <c r="P274" s="28">
        <v>1026.43642</v>
      </c>
    </row>
    <row r="275" spans="1:16" x14ac:dyDescent="0.25">
      <c r="A275" s="40">
        <v>1</v>
      </c>
      <c r="B275" s="40">
        <v>21</v>
      </c>
      <c r="C275" s="28">
        <v>13.006379300000001</v>
      </c>
      <c r="D275" s="28">
        <v>6.0151887799999999</v>
      </c>
      <c r="E275" s="28">
        <v>29.324972500000001</v>
      </c>
      <c r="F275" s="28">
        <v>23.216626399999999</v>
      </c>
      <c r="G275" s="28">
        <v>18.934546300000001</v>
      </c>
      <c r="H275" s="28">
        <v>52.837901799999997</v>
      </c>
      <c r="I275" s="28">
        <v>36.106696100000001</v>
      </c>
      <c r="J275" s="28">
        <v>981.303179</v>
      </c>
      <c r="K275" s="28">
        <v>922.61252200000001</v>
      </c>
      <c r="L275" s="28">
        <v>4.8409184400000003</v>
      </c>
      <c r="M275" s="28">
        <v>106.56547500000001</v>
      </c>
      <c r="N275" s="28">
        <v>50.228868300000002</v>
      </c>
      <c r="O275" s="28">
        <v>968.94817399999999</v>
      </c>
      <c r="P275" s="28">
        <v>1031.0518300000001</v>
      </c>
    </row>
    <row r="276" spans="1:16" x14ac:dyDescent="0.25">
      <c r="A276" s="40">
        <v>1</v>
      </c>
      <c r="B276" s="40">
        <v>22</v>
      </c>
      <c r="C276" s="28">
        <v>13.0086555</v>
      </c>
      <c r="D276" s="28">
        <v>6.0020792500000004</v>
      </c>
      <c r="E276" s="28">
        <v>29.5443757</v>
      </c>
      <c r="F276" s="28">
        <v>23.129034600000001</v>
      </c>
      <c r="G276" s="28">
        <v>19.015934900000001</v>
      </c>
      <c r="H276" s="28">
        <v>52.812680800000003</v>
      </c>
      <c r="I276" s="28">
        <v>36.182638500000003</v>
      </c>
      <c r="J276" s="28">
        <v>975.91224299999999</v>
      </c>
      <c r="K276" s="28">
        <v>913.95751700000005</v>
      </c>
      <c r="L276" s="28">
        <v>4.9075155600000002</v>
      </c>
      <c r="M276" s="28">
        <v>106.84208599999999</v>
      </c>
      <c r="N276" s="28">
        <v>50.784148199999997</v>
      </c>
      <c r="O276" s="28">
        <v>982.27811399999996</v>
      </c>
      <c r="P276" s="28">
        <v>1017.72189</v>
      </c>
    </row>
    <row r="277" spans="1:16" x14ac:dyDescent="0.25">
      <c r="A277" s="40">
        <v>1</v>
      </c>
      <c r="B277" s="40">
        <v>23</v>
      </c>
      <c r="C277" s="28">
        <v>12.9735624</v>
      </c>
      <c r="D277" s="28">
        <v>6.0170601499999998</v>
      </c>
      <c r="E277" s="28">
        <v>29.587895400000001</v>
      </c>
      <c r="F277" s="28">
        <v>23.108256000000001</v>
      </c>
      <c r="G277" s="28">
        <v>18.897079699999999</v>
      </c>
      <c r="H277" s="28">
        <v>52.577567500000001</v>
      </c>
      <c r="I277" s="28">
        <v>36.015695100000002</v>
      </c>
      <c r="J277" s="28">
        <v>981.07052899999996</v>
      </c>
      <c r="K277" s="28">
        <v>914.84714199999996</v>
      </c>
      <c r="L277" s="28">
        <v>4.9213205499999999</v>
      </c>
      <c r="M277" s="28">
        <v>106.710504</v>
      </c>
      <c r="N277" s="28">
        <v>51.113886100000002</v>
      </c>
      <c r="O277" s="28">
        <v>985.041293</v>
      </c>
      <c r="P277" s="28">
        <v>1014.95871</v>
      </c>
    </row>
    <row r="278" spans="1:16" x14ac:dyDescent="0.25">
      <c r="A278" s="40">
        <v>1</v>
      </c>
      <c r="B278" s="40">
        <v>24</v>
      </c>
      <c r="C278" s="28">
        <v>12.970787700000001</v>
      </c>
      <c r="D278" s="28">
        <v>6.0137887299999999</v>
      </c>
      <c r="E278" s="28">
        <v>29.634580400000001</v>
      </c>
      <c r="F278" s="28">
        <v>23.1243044</v>
      </c>
      <c r="G278" s="28">
        <v>18.943709599999998</v>
      </c>
      <c r="H278" s="28">
        <v>52.607289000000002</v>
      </c>
      <c r="I278" s="28">
        <v>36.096308000000001</v>
      </c>
      <c r="J278" s="28">
        <v>976.20023600000002</v>
      </c>
      <c r="K278" s="28">
        <v>916.83736999999996</v>
      </c>
      <c r="L278" s="28">
        <v>4.9145423099999999</v>
      </c>
      <c r="M278" s="28">
        <v>106.764594</v>
      </c>
      <c r="N278" s="28">
        <v>51.2325801</v>
      </c>
      <c r="O278" s="28">
        <v>983.684575</v>
      </c>
      <c r="P278" s="28">
        <v>1016.31543</v>
      </c>
    </row>
    <row r="279" spans="1:16" x14ac:dyDescent="0.25">
      <c r="A279" s="40">
        <v>1</v>
      </c>
      <c r="B279" s="40">
        <v>25</v>
      </c>
      <c r="C279" s="28">
        <v>13.0978671</v>
      </c>
      <c r="D279" s="28">
        <v>6.0023148500000003</v>
      </c>
      <c r="E279" s="28">
        <v>29.7004345</v>
      </c>
      <c r="F279" s="28">
        <v>22.9895374</v>
      </c>
      <c r="G279" s="28">
        <v>18.8781617</v>
      </c>
      <c r="H279" s="28">
        <v>52.846952000000002</v>
      </c>
      <c r="I279" s="28">
        <v>36.503247899999998</v>
      </c>
      <c r="J279" s="28">
        <v>981.77979300000004</v>
      </c>
      <c r="K279" s="28">
        <v>927.04016300000001</v>
      </c>
      <c r="L279" s="28">
        <v>4.9007807699999999</v>
      </c>
      <c r="M279" s="28">
        <v>106.966595</v>
      </c>
      <c r="N279" s="28">
        <v>50.462833400000001</v>
      </c>
      <c r="O279" s="28">
        <v>980.93009300000006</v>
      </c>
      <c r="P279" s="28">
        <v>1019.06991</v>
      </c>
    </row>
    <row r="280" spans="1:16" x14ac:dyDescent="0.25">
      <c r="A280" s="40">
        <v>1</v>
      </c>
      <c r="B280" s="40">
        <v>26</v>
      </c>
      <c r="C280" s="28">
        <v>13.114171300000001</v>
      </c>
      <c r="D280" s="28">
        <v>5.9683057100000001</v>
      </c>
      <c r="E280" s="28">
        <v>29.279814399999999</v>
      </c>
      <c r="F280" s="28">
        <v>22.516660600000002</v>
      </c>
      <c r="G280" s="28">
        <v>18.7972018</v>
      </c>
      <c r="H280" s="28">
        <v>53.248358099999997</v>
      </c>
      <c r="I280" s="28">
        <v>36.351814300000001</v>
      </c>
      <c r="J280" s="28">
        <v>977.892515</v>
      </c>
      <c r="K280" s="28">
        <v>923.23119999999994</v>
      </c>
      <c r="L280" s="28">
        <v>4.9178332400000002</v>
      </c>
      <c r="M280" s="28">
        <v>106.39515</v>
      </c>
      <c r="N280" s="28">
        <v>50.838998500000002</v>
      </c>
      <c r="O280" s="28">
        <v>984.34328000000005</v>
      </c>
      <c r="P280" s="28">
        <v>1015.65672</v>
      </c>
    </row>
    <row r="281" spans="1:16" x14ac:dyDescent="0.25">
      <c r="A281" s="40">
        <v>1</v>
      </c>
      <c r="B281" s="40">
        <v>27</v>
      </c>
      <c r="C281" s="28">
        <v>13.069773400000001</v>
      </c>
      <c r="D281" s="28">
        <v>5.9715841999999997</v>
      </c>
      <c r="E281" s="28">
        <v>29.3504468</v>
      </c>
      <c r="F281" s="28">
        <v>22.481065600000001</v>
      </c>
      <c r="G281" s="28">
        <v>18.661719300000001</v>
      </c>
      <c r="H281" s="28">
        <v>52.1831611</v>
      </c>
      <c r="I281" s="28">
        <v>36.421330300000001</v>
      </c>
      <c r="J281" s="28">
        <v>982.67064900000003</v>
      </c>
      <c r="K281" s="28">
        <v>920.485185</v>
      </c>
      <c r="L281" s="28">
        <v>4.9463644699999998</v>
      </c>
      <c r="M281" s="28">
        <v>106.204245</v>
      </c>
      <c r="N281" s="28">
        <v>50.748361500000001</v>
      </c>
      <c r="O281" s="28">
        <v>990.05403100000001</v>
      </c>
      <c r="P281" s="28">
        <v>1009.94597</v>
      </c>
    </row>
    <row r="282" spans="1:16" x14ac:dyDescent="0.25">
      <c r="A282" s="40">
        <v>1</v>
      </c>
      <c r="B282" s="40">
        <v>28</v>
      </c>
      <c r="C282" s="28">
        <v>13.047922</v>
      </c>
      <c r="D282" s="28">
        <v>5.9433903299999997</v>
      </c>
      <c r="E282" s="28">
        <v>29.1361463</v>
      </c>
      <c r="F282" s="28">
        <v>22.347273900000001</v>
      </c>
      <c r="G282" s="28">
        <v>18.624276500000001</v>
      </c>
      <c r="H282" s="28">
        <v>51.7570993</v>
      </c>
      <c r="I282" s="28">
        <v>36.694407499999997</v>
      </c>
      <c r="J282" s="28">
        <v>978.28984400000002</v>
      </c>
      <c r="K282" s="28">
        <v>922.33308099999999</v>
      </c>
      <c r="L282" s="28">
        <v>4.9875176999999997</v>
      </c>
      <c r="M282" s="28">
        <v>105.859093</v>
      </c>
      <c r="N282" s="28">
        <v>50.900917800000002</v>
      </c>
      <c r="O282" s="28">
        <v>998.29117599999995</v>
      </c>
      <c r="P282" s="28">
        <v>1001.7088199999999</v>
      </c>
    </row>
    <row r="283" spans="1:16" x14ac:dyDescent="0.25">
      <c r="A283" s="40">
        <v>1</v>
      </c>
      <c r="B283" s="40">
        <v>29</v>
      </c>
      <c r="C283" s="28">
        <v>13.095018400000001</v>
      </c>
      <c r="D283" s="28">
        <v>6.00748573</v>
      </c>
      <c r="E283" s="28">
        <v>29.150200399999999</v>
      </c>
      <c r="F283" s="28">
        <v>22.331244399999999</v>
      </c>
      <c r="G283" s="28">
        <v>18.719470099999999</v>
      </c>
      <c r="H283" s="28">
        <v>52.122160999999998</v>
      </c>
      <c r="I283" s="28">
        <v>36.628618199999998</v>
      </c>
      <c r="J283" s="28">
        <v>982.62417200000004</v>
      </c>
      <c r="K283" s="28">
        <v>921.304755</v>
      </c>
      <c r="L283" s="28">
        <v>5.0012078899999999</v>
      </c>
      <c r="M283" s="28">
        <v>106.17506899999999</v>
      </c>
      <c r="N283" s="28">
        <v>51.002007599999999</v>
      </c>
      <c r="O283" s="28">
        <v>1001.03138</v>
      </c>
      <c r="P283" s="28">
        <v>998.96862399999998</v>
      </c>
    </row>
    <row r="284" spans="1:16" x14ac:dyDescent="0.25">
      <c r="A284" s="40">
        <v>1</v>
      </c>
      <c r="B284" s="40">
        <v>30</v>
      </c>
      <c r="C284" s="28">
        <v>13.155682499999999</v>
      </c>
      <c r="D284" s="28">
        <v>6.0112897800000002</v>
      </c>
      <c r="E284" s="28">
        <v>28.8797234</v>
      </c>
      <c r="F284" s="28">
        <v>22.256029099999999</v>
      </c>
      <c r="G284" s="28">
        <v>18.589439599999999</v>
      </c>
      <c r="H284" s="28">
        <v>51.964529900000002</v>
      </c>
      <c r="I284" s="28">
        <v>36.697768099999998</v>
      </c>
      <c r="J284" s="28">
        <v>979.05332299999998</v>
      </c>
      <c r="K284" s="28">
        <v>920.86983299999997</v>
      </c>
      <c r="L284" s="28">
        <v>4.9998666900000002</v>
      </c>
      <c r="M284" s="28">
        <v>105.760429</v>
      </c>
      <c r="N284" s="28">
        <v>51.093957600000003</v>
      </c>
      <c r="O284" s="28">
        <v>1000.76292</v>
      </c>
      <c r="P284" s="28">
        <v>999.237076</v>
      </c>
    </row>
    <row r="285" spans="1:16" x14ac:dyDescent="0.25">
      <c r="A285" s="40">
        <v>1</v>
      </c>
      <c r="B285" s="40">
        <v>31</v>
      </c>
      <c r="C285" s="28">
        <v>13.2714932</v>
      </c>
      <c r="D285" s="28">
        <v>6.0267750199999996</v>
      </c>
      <c r="E285" s="28">
        <v>29.127838700000002</v>
      </c>
      <c r="F285" s="28">
        <v>22.450326799999999</v>
      </c>
      <c r="G285" s="28">
        <v>18.828835300000001</v>
      </c>
      <c r="H285" s="28">
        <v>52.534376399999999</v>
      </c>
      <c r="I285" s="28">
        <v>36.983392799999997</v>
      </c>
      <c r="J285" s="28">
        <v>982.88186299999995</v>
      </c>
      <c r="K285" s="28">
        <v>924.17677400000002</v>
      </c>
      <c r="L285" s="28">
        <v>4.9513791300000003</v>
      </c>
      <c r="M285" s="28">
        <v>106.625108</v>
      </c>
      <c r="N285" s="28">
        <v>50.445532499999999</v>
      </c>
      <c r="O285" s="28">
        <v>991.05775600000004</v>
      </c>
      <c r="P285" s="28">
        <v>1008.94224</v>
      </c>
    </row>
    <row r="286" spans="1:16" x14ac:dyDescent="0.25">
      <c r="A286" s="40">
        <v>1</v>
      </c>
      <c r="B286" s="40">
        <v>32</v>
      </c>
      <c r="C286" s="28">
        <v>13.257026700000001</v>
      </c>
      <c r="D286" s="28">
        <v>5.9976759800000004</v>
      </c>
      <c r="E286" s="28">
        <v>29.051936099999999</v>
      </c>
      <c r="F286" s="28">
        <v>22.203026600000001</v>
      </c>
      <c r="G286" s="28">
        <v>18.6598465</v>
      </c>
      <c r="H286" s="28">
        <v>51.8710351</v>
      </c>
      <c r="I286" s="28">
        <v>36.9667374</v>
      </c>
      <c r="J286" s="28">
        <v>978.66837099999998</v>
      </c>
      <c r="K286" s="28">
        <v>920.08789899999999</v>
      </c>
      <c r="L286" s="28">
        <v>4.9395321299999999</v>
      </c>
      <c r="M286" s="28">
        <v>106.06663500000001</v>
      </c>
      <c r="N286" s="28">
        <v>50.3107325</v>
      </c>
      <c r="O286" s="28">
        <v>988.68648499999995</v>
      </c>
      <c r="P286" s="28">
        <v>1011.31352</v>
      </c>
    </row>
    <row r="287" spans="1:16" x14ac:dyDescent="0.25">
      <c r="A287" s="40">
        <v>1</v>
      </c>
      <c r="B287" s="40">
        <v>33</v>
      </c>
      <c r="C287" s="28">
        <v>13.279883999999999</v>
      </c>
      <c r="D287" s="28">
        <v>5.9641780600000001</v>
      </c>
      <c r="E287" s="28">
        <v>29.156429299999999</v>
      </c>
      <c r="F287" s="28">
        <v>22.0746441</v>
      </c>
      <c r="G287" s="28">
        <v>18.5729361</v>
      </c>
      <c r="H287" s="28">
        <v>52.317474099999998</v>
      </c>
      <c r="I287" s="28">
        <v>36.799406099999999</v>
      </c>
      <c r="J287" s="28">
        <v>983.37115500000004</v>
      </c>
      <c r="K287" s="28">
        <v>922.869958</v>
      </c>
      <c r="L287" s="28">
        <v>4.9228968100000001</v>
      </c>
      <c r="M287" s="28">
        <v>105.71650700000001</v>
      </c>
      <c r="N287" s="28">
        <v>50.495241300000004</v>
      </c>
      <c r="O287" s="28">
        <v>985.35679400000004</v>
      </c>
      <c r="P287" s="28">
        <v>1014.64321</v>
      </c>
    </row>
    <row r="288" spans="1:16" x14ac:dyDescent="0.25">
      <c r="A288" s="40">
        <v>1</v>
      </c>
      <c r="B288" s="40">
        <v>34</v>
      </c>
      <c r="C288" s="28">
        <v>13.334758300000001</v>
      </c>
      <c r="D288" s="28">
        <v>5.91500161</v>
      </c>
      <c r="E288" s="28">
        <v>29.277660000000001</v>
      </c>
      <c r="F288" s="28">
        <v>22.190232300000002</v>
      </c>
      <c r="G288" s="28">
        <v>18.575570599999999</v>
      </c>
      <c r="H288" s="28">
        <v>52.732057099999999</v>
      </c>
      <c r="I288" s="28">
        <v>36.917942799999999</v>
      </c>
      <c r="J288" s="28">
        <v>979.39092800000003</v>
      </c>
      <c r="K288" s="28">
        <v>921.99532499999998</v>
      </c>
      <c r="L288" s="28">
        <v>4.9623403499999998</v>
      </c>
      <c r="M288" s="28">
        <v>105.98354999999999</v>
      </c>
      <c r="N288" s="28">
        <v>51.116669399999999</v>
      </c>
      <c r="O288" s="28">
        <v>993.25173099999995</v>
      </c>
      <c r="P288" s="28">
        <v>1006.74827</v>
      </c>
    </row>
    <row r="289" spans="1:16" x14ac:dyDescent="0.25">
      <c r="A289" s="40">
        <v>1</v>
      </c>
      <c r="B289" s="40">
        <v>35</v>
      </c>
      <c r="C289" s="28">
        <v>13.3714215</v>
      </c>
      <c r="D289" s="28">
        <v>5.9097610300000003</v>
      </c>
      <c r="E289" s="28">
        <v>29.231433599999999</v>
      </c>
      <c r="F289" s="28">
        <v>22.044460099999998</v>
      </c>
      <c r="G289" s="28">
        <v>18.463002800000002</v>
      </c>
      <c r="H289" s="28">
        <v>52.380694400000003</v>
      </c>
      <c r="I289" s="28">
        <v>37.092659300000001</v>
      </c>
      <c r="J289" s="28">
        <v>983.93599900000004</v>
      </c>
      <c r="K289" s="28">
        <v>925.06750199999999</v>
      </c>
      <c r="L289" s="28">
        <v>4.9706762400000004</v>
      </c>
      <c r="M289" s="28">
        <v>105.912598</v>
      </c>
      <c r="N289" s="28">
        <v>51.520212000000001</v>
      </c>
      <c r="O289" s="28">
        <v>994.92022399999996</v>
      </c>
      <c r="P289" s="28">
        <v>1005.07978</v>
      </c>
    </row>
    <row r="290" spans="1:16" x14ac:dyDescent="0.25">
      <c r="A290" s="40">
        <v>1</v>
      </c>
      <c r="B290" s="40">
        <v>36</v>
      </c>
      <c r="C290" s="28">
        <v>13.366469800000001</v>
      </c>
      <c r="D290" s="28">
        <v>5.8483700599999997</v>
      </c>
      <c r="E290" s="28">
        <v>29.495805600000001</v>
      </c>
      <c r="F290" s="28">
        <v>22.194841</v>
      </c>
      <c r="G290" s="28">
        <v>18.192820000000001</v>
      </c>
      <c r="H290" s="28">
        <v>51.999052300000002</v>
      </c>
      <c r="I290" s="28">
        <v>36.4600759</v>
      </c>
      <c r="J290" s="28">
        <v>980.675928</v>
      </c>
      <c r="K290" s="28">
        <v>922.64988400000004</v>
      </c>
      <c r="L290" s="28">
        <v>4.9776400699999996</v>
      </c>
      <c r="M290" s="28">
        <v>105.49924900000001</v>
      </c>
      <c r="N290" s="28">
        <v>51.370574499999996</v>
      </c>
      <c r="O290" s="28">
        <v>996.31409099999996</v>
      </c>
      <c r="P290" s="28">
        <v>1003.68591</v>
      </c>
    </row>
    <row r="291" spans="1:16" x14ac:dyDescent="0.25">
      <c r="A291" s="40">
        <v>1</v>
      </c>
      <c r="B291" s="40">
        <v>37</v>
      </c>
      <c r="C291" s="28">
        <v>13.3592431</v>
      </c>
      <c r="D291" s="28">
        <v>5.8602800000000004</v>
      </c>
      <c r="E291" s="28">
        <v>29.463903200000001</v>
      </c>
      <c r="F291" s="28">
        <v>22.169492699999999</v>
      </c>
      <c r="G291" s="28">
        <v>18.613751600000001</v>
      </c>
      <c r="H291" s="28">
        <v>52.021731000000003</v>
      </c>
      <c r="I291" s="28">
        <v>36.451858100000003</v>
      </c>
      <c r="J291" s="28">
        <v>982.34370200000001</v>
      </c>
      <c r="K291" s="28">
        <v>924.86681299999998</v>
      </c>
      <c r="L291" s="28">
        <v>4.9280408500000004</v>
      </c>
      <c r="M291" s="28">
        <v>106.005139</v>
      </c>
      <c r="N291" s="28">
        <v>51.2645476</v>
      </c>
      <c r="O291" s="28">
        <v>986.38641299999995</v>
      </c>
      <c r="P291" s="28">
        <v>1013.61359</v>
      </c>
    </row>
    <row r="292" spans="1:16" x14ac:dyDescent="0.25">
      <c r="A292" s="40">
        <v>1</v>
      </c>
      <c r="B292" s="40">
        <v>38</v>
      </c>
      <c r="C292" s="28">
        <v>13.3881783</v>
      </c>
      <c r="D292" s="28">
        <v>5.8767185</v>
      </c>
      <c r="E292" s="28">
        <v>29.603391599999998</v>
      </c>
      <c r="F292" s="28">
        <v>22.227060000000002</v>
      </c>
      <c r="G292" s="28">
        <v>18.763626899999998</v>
      </c>
      <c r="H292" s="28">
        <v>52.097984099999998</v>
      </c>
      <c r="I292" s="28">
        <v>36.826946800000002</v>
      </c>
      <c r="J292" s="28">
        <v>977.23137299999996</v>
      </c>
      <c r="K292" s="28">
        <v>925.09410000000003</v>
      </c>
      <c r="L292" s="28">
        <v>4.9309003599999999</v>
      </c>
      <c r="M292" s="28">
        <v>106.683159</v>
      </c>
      <c r="N292" s="28">
        <v>50.6167929</v>
      </c>
      <c r="O292" s="28">
        <v>986.95876699999997</v>
      </c>
      <c r="P292" s="28">
        <v>1013.04123</v>
      </c>
    </row>
    <row r="293" spans="1:16" x14ac:dyDescent="0.25">
      <c r="A293" s="40">
        <v>1</v>
      </c>
      <c r="B293" s="40">
        <v>39</v>
      </c>
      <c r="C293" s="28">
        <v>13.342156900000001</v>
      </c>
      <c r="D293" s="28">
        <v>5.8886539999999998</v>
      </c>
      <c r="E293" s="28">
        <v>29.841613599999999</v>
      </c>
      <c r="F293" s="28">
        <v>22.3545345</v>
      </c>
      <c r="G293" s="28">
        <v>18.746579400000002</v>
      </c>
      <c r="H293" s="28">
        <v>52.113471500000003</v>
      </c>
      <c r="I293" s="28">
        <v>37.360843799999998</v>
      </c>
      <c r="J293" s="28">
        <v>980.55297399999995</v>
      </c>
      <c r="K293" s="28">
        <v>930.19813399999998</v>
      </c>
      <c r="L293" s="28">
        <v>4.9579707500000003</v>
      </c>
      <c r="M293" s="28">
        <v>107.14948099999999</v>
      </c>
      <c r="N293" s="28">
        <v>51.104878999999997</v>
      </c>
      <c r="O293" s="28">
        <v>992.37711999999999</v>
      </c>
      <c r="P293" s="28">
        <v>1007.62288</v>
      </c>
    </row>
    <row r="294" spans="1:16" x14ac:dyDescent="0.25">
      <c r="A294" s="40">
        <v>1</v>
      </c>
      <c r="B294" s="40">
        <v>40</v>
      </c>
      <c r="C294" s="28">
        <v>13.3685714</v>
      </c>
      <c r="D294" s="28">
        <v>5.9241546300000003</v>
      </c>
      <c r="E294" s="28">
        <v>30.061640499999999</v>
      </c>
      <c r="F294" s="28">
        <v>22.371332800000001</v>
      </c>
      <c r="G294" s="28">
        <v>18.6572031</v>
      </c>
      <c r="H294" s="28">
        <v>52.167664100000003</v>
      </c>
      <c r="I294" s="28">
        <v>37.685483900000001</v>
      </c>
      <c r="J294" s="28">
        <v>976.30006200000003</v>
      </c>
      <c r="K294" s="28">
        <v>933.323804</v>
      </c>
      <c r="L294" s="28">
        <v>5.0702615700000004</v>
      </c>
      <c r="M294" s="28">
        <v>107.469334</v>
      </c>
      <c r="N294" s="28">
        <v>51.708095299999997</v>
      </c>
      <c r="O294" s="28">
        <v>1014.85302</v>
      </c>
      <c r="P294" s="28">
        <v>985.14698199999998</v>
      </c>
    </row>
    <row r="295" spans="1:16" x14ac:dyDescent="0.25">
      <c r="A295" s="40">
        <v>1</v>
      </c>
      <c r="B295" s="40">
        <v>41</v>
      </c>
      <c r="C295" s="28">
        <v>13.4692741</v>
      </c>
      <c r="D295" s="28">
        <v>5.9079416800000004</v>
      </c>
      <c r="E295" s="28">
        <v>30.2770644</v>
      </c>
      <c r="F295" s="28">
        <v>22.437878399999999</v>
      </c>
      <c r="G295" s="28">
        <v>18.572121899999999</v>
      </c>
      <c r="H295" s="28">
        <v>52.0428517</v>
      </c>
      <c r="I295" s="28">
        <v>37.538796900000001</v>
      </c>
      <c r="J295" s="28">
        <v>980.37993700000004</v>
      </c>
      <c r="K295" s="28">
        <v>931.96551399999998</v>
      </c>
      <c r="L295" s="28">
        <v>5.1097544499999996</v>
      </c>
      <c r="M295" s="28">
        <v>107.677391</v>
      </c>
      <c r="N295" s="28">
        <v>51.525113400000002</v>
      </c>
      <c r="O295" s="28">
        <v>1022.75783</v>
      </c>
      <c r="P295" s="28">
        <v>977.24216899999999</v>
      </c>
    </row>
    <row r="296" spans="1:16" x14ac:dyDescent="0.25">
      <c r="A296" s="40">
        <v>1</v>
      </c>
      <c r="B296" s="40">
        <v>42</v>
      </c>
      <c r="C296" s="28">
        <v>13.356356</v>
      </c>
      <c r="D296" s="28">
        <v>5.9095281100000001</v>
      </c>
      <c r="E296" s="28">
        <v>30.075825300000002</v>
      </c>
      <c r="F296" s="28">
        <v>22.336387599999998</v>
      </c>
      <c r="G296" s="28">
        <v>18.4109053</v>
      </c>
      <c r="H296" s="28">
        <v>51.390551500000001</v>
      </c>
      <c r="I296" s="28">
        <v>37.4229573</v>
      </c>
      <c r="J296" s="28">
        <v>976.48721399999999</v>
      </c>
      <c r="K296" s="28">
        <v>936.49235199999998</v>
      </c>
      <c r="L296" s="28">
        <v>5.0753961099999998</v>
      </c>
      <c r="M296" s="28">
        <v>107.067054</v>
      </c>
      <c r="N296" s="28">
        <v>51.475124700000002</v>
      </c>
      <c r="O296" s="28">
        <v>1015.8807399999999</v>
      </c>
      <c r="P296" s="28">
        <v>984.11926400000004</v>
      </c>
    </row>
    <row r="297" spans="1:16" x14ac:dyDescent="0.25">
      <c r="A297" s="40">
        <v>1</v>
      </c>
      <c r="B297" s="40">
        <v>43</v>
      </c>
      <c r="C297" s="28">
        <v>13.5318956</v>
      </c>
      <c r="D297" s="28">
        <v>5.9204438699999997</v>
      </c>
      <c r="E297" s="28">
        <v>30.546378399999998</v>
      </c>
      <c r="F297" s="28">
        <v>22.4787465</v>
      </c>
      <c r="G297" s="28">
        <v>18.346588499999999</v>
      </c>
      <c r="H297" s="28">
        <v>51.428933700000002</v>
      </c>
      <c r="I297" s="28">
        <v>37.7666538</v>
      </c>
      <c r="J297" s="28">
        <v>980.38913200000002</v>
      </c>
      <c r="K297" s="28">
        <v>937.62358400000005</v>
      </c>
      <c r="L297" s="28">
        <v>5.0263140699999997</v>
      </c>
      <c r="M297" s="28">
        <v>107.515325</v>
      </c>
      <c r="N297" s="28">
        <v>51.578811299999998</v>
      </c>
      <c r="O297" s="28">
        <v>1006.0565800000001</v>
      </c>
      <c r="P297" s="28">
        <v>993.94342300000005</v>
      </c>
    </row>
    <row r="298" spans="1:16" x14ac:dyDescent="0.25">
      <c r="A298" s="40">
        <v>1</v>
      </c>
      <c r="B298" s="40">
        <v>44</v>
      </c>
      <c r="C298" s="28">
        <v>13.5810859</v>
      </c>
      <c r="D298" s="28">
        <v>5.9579728899999997</v>
      </c>
      <c r="E298" s="28">
        <v>30.417267599999999</v>
      </c>
      <c r="F298" s="28">
        <v>22.465907900000001</v>
      </c>
      <c r="G298" s="28">
        <v>18.281916200000001</v>
      </c>
      <c r="H298" s="28">
        <v>51.537384400000001</v>
      </c>
      <c r="I298" s="28">
        <v>37.7504566</v>
      </c>
      <c r="J298" s="28">
        <v>976.84065399999997</v>
      </c>
      <c r="K298" s="28">
        <v>934.24513899999999</v>
      </c>
      <c r="L298" s="28">
        <v>5.0487832099999999</v>
      </c>
      <c r="M298" s="28">
        <v>107.722781</v>
      </c>
      <c r="N298" s="28">
        <v>51.5334103</v>
      </c>
      <c r="O298" s="28">
        <v>1010.55395</v>
      </c>
      <c r="P298" s="28">
        <v>989.44604600000002</v>
      </c>
    </row>
    <row r="299" spans="1:16" x14ac:dyDescent="0.25">
      <c r="A299" s="40">
        <v>1</v>
      </c>
      <c r="B299" s="40">
        <v>45</v>
      </c>
      <c r="C299" s="28">
        <v>13.586360000000001</v>
      </c>
      <c r="D299" s="28">
        <v>5.9479885299999999</v>
      </c>
      <c r="E299" s="28">
        <v>30.659937299999999</v>
      </c>
      <c r="F299" s="28">
        <v>22.3964426</v>
      </c>
      <c r="G299" s="28">
        <v>18.192066000000001</v>
      </c>
      <c r="H299" s="28">
        <v>50.594368699999997</v>
      </c>
      <c r="I299" s="28">
        <v>37.779038300000003</v>
      </c>
      <c r="J299" s="28">
        <v>979.98699399999998</v>
      </c>
      <c r="K299" s="28">
        <v>936.28216299999997</v>
      </c>
      <c r="L299" s="28">
        <v>5.0590936700000002</v>
      </c>
      <c r="M299" s="28">
        <v>107.537127</v>
      </c>
      <c r="N299" s="28">
        <v>51.785673199999998</v>
      </c>
      <c r="O299" s="28">
        <v>1012.61767</v>
      </c>
      <c r="P299" s="28">
        <v>987.38232600000003</v>
      </c>
    </row>
    <row r="300" spans="1:16" x14ac:dyDescent="0.25">
      <c r="A300" s="40">
        <v>1</v>
      </c>
      <c r="B300" s="40">
        <v>46</v>
      </c>
      <c r="C300" s="28">
        <v>13.6285264</v>
      </c>
      <c r="D300" s="28">
        <v>5.9519701600000001</v>
      </c>
      <c r="E300" s="28">
        <v>30.371429200000001</v>
      </c>
      <c r="F300" s="28">
        <v>22.240481500000001</v>
      </c>
      <c r="G300" s="28">
        <v>18.2497127</v>
      </c>
      <c r="H300" s="28">
        <v>50.918509</v>
      </c>
      <c r="I300" s="28">
        <v>38.3728178</v>
      </c>
      <c r="J300" s="28">
        <v>976.34609399999999</v>
      </c>
      <c r="K300" s="28">
        <v>935.19460700000002</v>
      </c>
      <c r="L300" s="28">
        <v>5.0539279500000003</v>
      </c>
      <c r="M300" s="28">
        <v>107.68011799999999</v>
      </c>
      <c r="N300" s="28">
        <v>51.696439699999999</v>
      </c>
      <c r="O300" s="28">
        <v>1011.58371</v>
      </c>
      <c r="P300" s="28">
        <v>988.41628600000001</v>
      </c>
    </row>
    <row r="301" spans="1:16" x14ac:dyDescent="0.25">
      <c r="A301" s="40">
        <v>1</v>
      </c>
      <c r="B301" s="40">
        <v>47</v>
      </c>
      <c r="C301" s="28">
        <v>13.610380299999999</v>
      </c>
      <c r="D301" s="28">
        <v>5.9332783200000003</v>
      </c>
      <c r="E301" s="28">
        <v>30.2367408</v>
      </c>
      <c r="F301" s="28">
        <v>22.247211799999999</v>
      </c>
      <c r="G301" s="28">
        <v>18.268914500000001</v>
      </c>
      <c r="H301" s="28">
        <v>51.066657200000002</v>
      </c>
      <c r="I301" s="28">
        <v>39.005051899999998</v>
      </c>
      <c r="J301" s="28">
        <v>980.03727200000003</v>
      </c>
      <c r="K301" s="28">
        <v>940.51586599999996</v>
      </c>
      <c r="L301" s="28">
        <v>5.0628905099999999</v>
      </c>
      <c r="M301" s="28">
        <v>107.63868600000001</v>
      </c>
      <c r="N301" s="28">
        <v>51.667912600000001</v>
      </c>
      <c r="O301" s="28">
        <v>1013.37764</v>
      </c>
      <c r="P301" s="28">
        <v>986.62235899999996</v>
      </c>
    </row>
    <row r="302" spans="1:16" x14ac:dyDescent="0.25">
      <c r="A302" s="40">
        <v>1</v>
      </c>
      <c r="B302" s="40">
        <v>48</v>
      </c>
      <c r="C302" s="28">
        <v>13.512721900000001</v>
      </c>
      <c r="D302" s="28">
        <v>5.93227891</v>
      </c>
      <c r="E302" s="28">
        <v>29.920003300000001</v>
      </c>
      <c r="F302" s="28">
        <v>22.105319699999999</v>
      </c>
      <c r="G302" s="28">
        <v>18.090110299999999</v>
      </c>
      <c r="H302" s="28">
        <v>50.507033399999997</v>
      </c>
      <c r="I302" s="28">
        <v>38.946315499999997</v>
      </c>
      <c r="J302" s="28">
        <v>976.96217100000001</v>
      </c>
      <c r="K302" s="28">
        <v>942.28397399999994</v>
      </c>
      <c r="L302" s="28">
        <v>5.09522224</v>
      </c>
      <c r="M302" s="28">
        <v>106.90940399999999</v>
      </c>
      <c r="N302" s="28">
        <v>51.876097600000001</v>
      </c>
      <c r="O302" s="28">
        <v>1019.84909</v>
      </c>
      <c r="P302" s="28">
        <v>980.15090599999996</v>
      </c>
    </row>
    <row r="303" spans="1:16" x14ac:dyDescent="0.25">
      <c r="A303" s="40">
        <v>1</v>
      </c>
      <c r="B303" s="40">
        <v>49</v>
      </c>
      <c r="C303" s="28">
        <v>13.4449418</v>
      </c>
      <c r="D303" s="28">
        <v>5.92659585</v>
      </c>
      <c r="E303" s="28">
        <v>29.811295000000001</v>
      </c>
      <c r="F303" s="28">
        <v>21.855031100000001</v>
      </c>
      <c r="G303" s="28">
        <v>17.866607599999998</v>
      </c>
      <c r="H303" s="28">
        <v>49.963433000000002</v>
      </c>
      <c r="I303" s="28">
        <v>38.322045799999998</v>
      </c>
      <c r="J303" s="28">
        <v>980.75413600000002</v>
      </c>
      <c r="K303" s="28">
        <v>940.19185000000004</v>
      </c>
      <c r="L303" s="28">
        <v>5.1164622499999997</v>
      </c>
      <c r="M303" s="28">
        <v>106.04257800000001</v>
      </c>
      <c r="N303" s="28">
        <v>52.634461299999998</v>
      </c>
      <c r="O303" s="28">
        <v>1024.1004499999999</v>
      </c>
      <c r="P303" s="28">
        <v>975.89954899999998</v>
      </c>
    </row>
    <row r="304" spans="1:16" x14ac:dyDescent="0.25">
      <c r="A304" s="40">
        <v>1</v>
      </c>
      <c r="B304" s="40">
        <v>50</v>
      </c>
      <c r="C304" s="28">
        <v>13.3861758</v>
      </c>
      <c r="D304" s="28">
        <v>5.9165374699999997</v>
      </c>
      <c r="E304" s="28">
        <v>29.635545700000002</v>
      </c>
      <c r="F304" s="28">
        <v>21.8316345</v>
      </c>
      <c r="G304" s="28">
        <v>17.9623925</v>
      </c>
      <c r="H304" s="28">
        <v>50.314070600000001</v>
      </c>
      <c r="I304" s="28">
        <v>38.399563999999998</v>
      </c>
      <c r="J304" s="28">
        <v>976.96215900000004</v>
      </c>
      <c r="K304" s="28">
        <v>934.43077600000004</v>
      </c>
      <c r="L304" s="28">
        <v>5.1128177600000004</v>
      </c>
      <c r="M304" s="28">
        <v>106.26987</v>
      </c>
      <c r="N304" s="28">
        <v>52.807181700000001</v>
      </c>
      <c r="O304" s="28">
        <v>1023.37098</v>
      </c>
      <c r="P304" s="28">
        <v>976.62902499999996</v>
      </c>
    </row>
    <row r="305" spans="1:16" x14ac:dyDescent="0.25">
      <c r="A305" s="40">
        <v>1</v>
      </c>
      <c r="B305" s="40">
        <v>51</v>
      </c>
      <c r="C305" s="28">
        <v>13.3227458</v>
      </c>
      <c r="D305" s="28">
        <v>5.8876428299999999</v>
      </c>
      <c r="E305" s="28">
        <v>29.526484799999999</v>
      </c>
      <c r="F305" s="28">
        <v>21.6701449</v>
      </c>
      <c r="G305" s="28">
        <v>18.128068800000001</v>
      </c>
      <c r="H305" s="28">
        <v>50.523848399999999</v>
      </c>
      <c r="I305" s="28">
        <v>38.449221100000003</v>
      </c>
      <c r="J305" s="28">
        <v>979.48462099999995</v>
      </c>
      <c r="K305" s="28">
        <v>934.28689299999996</v>
      </c>
      <c r="L305" s="28">
        <v>5.1583551400000003</v>
      </c>
      <c r="M305" s="28">
        <v>106.07651</v>
      </c>
      <c r="N305" s="28">
        <v>52.936362899999999</v>
      </c>
      <c r="O305" s="28">
        <v>1032.4856400000001</v>
      </c>
      <c r="P305" s="28">
        <v>967.51435600000002</v>
      </c>
    </row>
    <row r="306" spans="1:16" x14ac:dyDescent="0.25">
      <c r="A306" s="40">
        <v>1</v>
      </c>
      <c r="B306" s="40">
        <v>52</v>
      </c>
      <c r="C306" s="28">
        <v>13.247465800000001</v>
      </c>
      <c r="D306" s="28">
        <v>5.8716477899999999</v>
      </c>
      <c r="E306" s="28">
        <v>29.600121600000001</v>
      </c>
      <c r="F306" s="28">
        <v>21.754922199999999</v>
      </c>
      <c r="G306" s="28">
        <v>17.9763287</v>
      </c>
      <c r="H306" s="28">
        <v>50.565956700000001</v>
      </c>
      <c r="I306" s="28">
        <v>37.924595500000002</v>
      </c>
      <c r="J306" s="28">
        <v>976.46064799999999</v>
      </c>
      <c r="K306" s="28">
        <v>934.96984599999996</v>
      </c>
      <c r="L306" s="28">
        <v>5.2145122600000002</v>
      </c>
      <c r="M306" s="28">
        <v>106.07595000000001</v>
      </c>
      <c r="N306" s="28">
        <v>52.8979547</v>
      </c>
      <c r="O306" s="28">
        <v>1043.72594</v>
      </c>
      <c r="P306" s="28">
        <v>956.27406399999995</v>
      </c>
    </row>
    <row r="307" spans="1:16" x14ac:dyDescent="0.25">
      <c r="A307" s="40">
        <v>1</v>
      </c>
      <c r="B307" s="40">
        <v>53</v>
      </c>
      <c r="C307" s="28">
        <v>13.083632400000001</v>
      </c>
      <c r="D307" s="28">
        <v>5.8411557199999997</v>
      </c>
      <c r="E307" s="28">
        <v>29.7349411</v>
      </c>
      <c r="F307" s="28">
        <v>21.619900000000001</v>
      </c>
      <c r="G307" s="28">
        <v>18.002731199999999</v>
      </c>
      <c r="H307" s="28">
        <v>50.2165441</v>
      </c>
      <c r="I307" s="28">
        <v>37.932972700000001</v>
      </c>
      <c r="J307" s="28">
        <v>978.62205500000005</v>
      </c>
      <c r="K307" s="28">
        <v>934.55497000000003</v>
      </c>
      <c r="L307" s="28">
        <v>5.2558542599999996</v>
      </c>
      <c r="M307" s="28">
        <v>105.715383</v>
      </c>
      <c r="N307" s="28">
        <v>53.231863500000003</v>
      </c>
      <c r="O307" s="28">
        <v>1052.0008600000001</v>
      </c>
      <c r="P307" s="28">
        <v>947.99913600000002</v>
      </c>
    </row>
    <row r="308" spans="1:16" x14ac:dyDescent="0.25">
      <c r="A308" s="40">
        <v>1</v>
      </c>
      <c r="B308" s="40">
        <v>54</v>
      </c>
      <c r="C308" s="28">
        <v>13.163095200000001</v>
      </c>
      <c r="D308" s="28">
        <v>5.8842892300000003</v>
      </c>
      <c r="E308" s="28">
        <v>30.049301799999999</v>
      </c>
      <c r="F308" s="28">
        <v>21.934314100000002</v>
      </c>
      <c r="G308" s="28">
        <v>18.0094052</v>
      </c>
      <c r="H308" s="28">
        <v>50.570717999999999</v>
      </c>
      <c r="I308" s="28">
        <v>38.313737500000002</v>
      </c>
      <c r="J308" s="28">
        <v>975.29016999999999</v>
      </c>
      <c r="K308" s="28">
        <v>936.30475200000001</v>
      </c>
      <c r="L308" s="28">
        <v>5.1778179800000004</v>
      </c>
      <c r="M308" s="28">
        <v>106.66254000000001</v>
      </c>
      <c r="N308" s="28">
        <v>53.376478499999997</v>
      </c>
      <c r="O308" s="28">
        <v>1036.3812800000001</v>
      </c>
      <c r="P308" s="28">
        <v>963.61871499999995</v>
      </c>
    </row>
    <row r="309" spans="1:16" x14ac:dyDescent="0.25">
      <c r="A309" s="40">
        <v>1</v>
      </c>
      <c r="B309" s="40">
        <v>55</v>
      </c>
      <c r="C309" s="28">
        <v>13.2052332</v>
      </c>
      <c r="D309" s="28">
        <v>5.9357054900000001</v>
      </c>
      <c r="E309" s="28">
        <v>30.2556893</v>
      </c>
      <c r="F309" s="28">
        <v>22.2022449</v>
      </c>
      <c r="G309" s="28">
        <v>18.097522900000001</v>
      </c>
      <c r="H309" s="28">
        <v>51.116424199999997</v>
      </c>
      <c r="I309" s="28">
        <v>38.094083699999999</v>
      </c>
      <c r="J309" s="28">
        <v>978.19211700000005</v>
      </c>
      <c r="K309" s="28">
        <v>934.60816799999998</v>
      </c>
      <c r="L309" s="28">
        <v>5.1681010900000004</v>
      </c>
      <c r="M309" s="28">
        <v>107.51988299999999</v>
      </c>
      <c r="N309" s="28">
        <v>53.078682299999997</v>
      </c>
      <c r="O309" s="28">
        <v>1034.4363699999999</v>
      </c>
      <c r="P309" s="28">
        <v>965.563627</v>
      </c>
    </row>
    <row r="310" spans="1:16" x14ac:dyDescent="0.25">
      <c r="A310" s="40">
        <v>1</v>
      </c>
      <c r="B310" s="40">
        <v>56</v>
      </c>
      <c r="C310" s="28">
        <v>13.206007</v>
      </c>
      <c r="D310" s="28">
        <v>5.9217787900000003</v>
      </c>
      <c r="E310" s="28">
        <v>30.192492300000001</v>
      </c>
      <c r="F310" s="28">
        <v>22.039197900000001</v>
      </c>
      <c r="G310" s="28">
        <v>18.070578699999999</v>
      </c>
      <c r="H310" s="28">
        <v>51.477995800000002</v>
      </c>
      <c r="I310" s="28">
        <v>37.863273</v>
      </c>
      <c r="J310" s="28">
        <v>974.92246299999999</v>
      </c>
      <c r="K310" s="28">
        <v>932.68882299999996</v>
      </c>
      <c r="L310" s="28">
        <v>5.1449177199999996</v>
      </c>
      <c r="M310" s="28">
        <v>107.16647399999999</v>
      </c>
      <c r="N310" s="28">
        <v>53.148753800000001</v>
      </c>
      <c r="O310" s="28">
        <v>1029.7960399999999</v>
      </c>
      <c r="P310" s="28">
        <v>970.20396400000004</v>
      </c>
    </row>
    <row r="311" spans="1:16" x14ac:dyDescent="0.25">
      <c r="A311" s="40">
        <v>1</v>
      </c>
      <c r="B311" s="40">
        <v>57</v>
      </c>
      <c r="C311" s="28">
        <v>13.2542116</v>
      </c>
      <c r="D311" s="28">
        <v>5.8776577999999997</v>
      </c>
      <c r="E311" s="28">
        <v>30.376167200000001</v>
      </c>
      <c r="F311" s="28">
        <v>21.989503599999999</v>
      </c>
      <c r="G311" s="28">
        <v>18.149459400000001</v>
      </c>
      <c r="H311" s="28">
        <v>50.607504200000001</v>
      </c>
      <c r="I311" s="28">
        <v>37.717733099999997</v>
      </c>
      <c r="J311" s="28">
        <v>977.42908899999998</v>
      </c>
      <c r="K311" s="28">
        <v>929.79931499999998</v>
      </c>
      <c r="L311" s="28">
        <v>5.1260488799999999</v>
      </c>
      <c r="M311" s="28">
        <v>106.925746</v>
      </c>
      <c r="N311" s="28">
        <v>52.775641</v>
      </c>
      <c r="O311" s="28">
        <v>1026.01929</v>
      </c>
      <c r="P311" s="28">
        <v>973.98071100000004</v>
      </c>
    </row>
    <row r="312" spans="1:16" x14ac:dyDescent="0.25">
      <c r="A312" s="40">
        <v>1</v>
      </c>
      <c r="B312" s="40">
        <v>58</v>
      </c>
      <c r="C312" s="28">
        <v>13.2219076</v>
      </c>
      <c r="D312" s="28">
        <v>5.8870678099999996</v>
      </c>
      <c r="E312" s="28">
        <v>30.234256999999999</v>
      </c>
      <c r="F312" s="28">
        <v>22.036248199999999</v>
      </c>
      <c r="G312" s="28">
        <v>18.130152200000001</v>
      </c>
      <c r="H312" s="28">
        <v>50.8698458</v>
      </c>
      <c r="I312" s="28">
        <v>37.551462899999997</v>
      </c>
      <c r="J312" s="28">
        <v>974.26775999999995</v>
      </c>
      <c r="K312" s="28">
        <v>932.07230200000004</v>
      </c>
      <c r="L312" s="28">
        <v>5.0705022</v>
      </c>
      <c r="M312" s="28">
        <v>106.785873</v>
      </c>
      <c r="N312" s="28">
        <v>52.187951400000003</v>
      </c>
      <c r="O312" s="28">
        <v>1014.90118</v>
      </c>
      <c r="P312" s="28">
        <v>985.09881800000005</v>
      </c>
    </row>
    <row r="313" spans="1:16" x14ac:dyDescent="0.25">
      <c r="A313" s="40">
        <v>1</v>
      </c>
      <c r="B313" s="40">
        <v>59</v>
      </c>
      <c r="C313" s="28">
        <v>13.2162706</v>
      </c>
      <c r="D313" s="28">
        <v>5.8840837099999996</v>
      </c>
      <c r="E313" s="28">
        <v>30.278306300000001</v>
      </c>
      <c r="F313" s="28">
        <v>21.892870200000001</v>
      </c>
      <c r="G313" s="28">
        <v>18.160423600000001</v>
      </c>
      <c r="H313" s="28">
        <v>50.678355699999997</v>
      </c>
      <c r="I313" s="28">
        <v>37.555168899999998</v>
      </c>
      <c r="J313" s="28">
        <v>976.91721399999994</v>
      </c>
      <c r="K313" s="28">
        <v>934.30959900000005</v>
      </c>
      <c r="L313" s="28">
        <v>5.0956784600000002</v>
      </c>
      <c r="M313" s="28">
        <v>106.809281</v>
      </c>
      <c r="N313" s="28">
        <v>52.167653799999997</v>
      </c>
      <c r="O313" s="28">
        <v>1019.94041</v>
      </c>
      <c r="P313" s="28">
        <v>980.05958999999996</v>
      </c>
    </row>
    <row r="314" spans="1:16" x14ac:dyDescent="0.25">
      <c r="A314" s="40">
        <v>1</v>
      </c>
      <c r="B314" s="40">
        <v>60</v>
      </c>
      <c r="C314" s="28">
        <v>13.2034664</v>
      </c>
      <c r="D314" s="28">
        <v>5.8886259000000001</v>
      </c>
      <c r="E314" s="28">
        <v>29.9188805</v>
      </c>
      <c r="F314" s="28">
        <v>22.047931999999999</v>
      </c>
      <c r="G314" s="28">
        <v>18.190067500000001</v>
      </c>
      <c r="H314" s="28">
        <v>50.599732699999997</v>
      </c>
      <c r="I314" s="28">
        <v>37.2235145</v>
      </c>
      <c r="J314" s="28">
        <v>973.985412</v>
      </c>
      <c r="K314" s="28">
        <v>934.83453499999996</v>
      </c>
      <c r="L314" s="28">
        <v>5.0170883000000002</v>
      </c>
      <c r="M314" s="28">
        <v>106.691974</v>
      </c>
      <c r="N314" s="28">
        <v>51.4712271</v>
      </c>
      <c r="O314" s="28">
        <v>1004.20997</v>
      </c>
      <c r="P314" s="28">
        <v>995.79003399999999</v>
      </c>
    </row>
    <row r="315" spans="1:16" x14ac:dyDescent="0.25">
      <c r="A315" s="40">
        <v>1</v>
      </c>
      <c r="B315" s="40">
        <v>61</v>
      </c>
      <c r="C315" s="28">
        <v>13.160769999999999</v>
      </c>
      <c r="D315" s="28">
        <v>5.8744118399999996</v>
      </c>
      <c r="E315" s="28">
        <v>29.873814299999999</v>
      </c>
      <c r="F315" s="28">
        <v>22.100707400000001</v>
      </c>
      <c r="G315" s="28">
        <v>17.960822400000001</v>
      </c>
      <c r="H315" s="28">
        <v>49.735576799999997</v>
      </c>
      <c r="I315" s="28">
        <v>36.087182300000002</v>
      </c>
      <c r="J315" s="28">
        <v>977.73871999999994</v>
      </c>
      <c r="K315" s="28">
        <v>935.76871400000005</v>
      </c>
      <c r="L315" s="28">
        <v>5.0138655400000003</v>
      </c>
      <c r="M315" s="28">
        <v>105.726461</v>
      </c>
      <c r="N315" s="28">
        <v>51.503357899999997</v>
      </c>
      <c r="O315" s="28">
        <v>1003.5649100000001</v>
      </c>
      <c r="P315" s="28">
        <v>996.43509400000005</v>
      </c>
    </row>
    <row r="316" spans="1:16" x14ac:dyDescent="0.25">
      <c r="A316" s="40">
        <v>1</v>
      </c>
      <c r="B316" s="40">
        <v>62</v>
      </c>
      <c r="C316" s="28">
        <v>13.109085200000001</v>
      </c>
      <c r="D316" s="28">
        <v>5.8589105999999997</v>
      </c>
      <c r="E316" s="28">
        <v>29.870621700000001</v>
      </c>
      <c r="F316" s="28">
        <v>22.0438993</v>
      </c>
      <c r="G316" s="28">
        <v>18.1900795</v>
      </c>
      <c r="H316" s="28">
        <v>49.366559799999997</v>
      </c>
      <c r="I316" s="28">
        <v>36.121970099999999</v>
      </c>
      <c r="J316" s="28">
        <v>973.03085199999998</v>
      </c>
      <c r="K316" s="28">
        <v>934.50769600000001</v>
      </c>
      <c r="L316" s="28">
        <v>5.0546922399999996</v>
      </c>
      <c r="M316" s="28">
        <v>105.765546</v>
      </c>
      <c r="N316" s="28">
        <v>50.979183800000001</v>
      </c>
      <c r="O316" s="28">
        <v>1011.73669</v>
      </c>
      <c r="P316" s="28">
        <v>988.26330700000005</v>
      </c>
    </row>
    <row r="317" spans="1:16" x14ac:dyDescent="0.25">
      <c r="A317" s="40">
        <v>1</v>
      </c>
      <c r="B317" s="40">
        <v>63</v>
      </c>
      <c r="C317" s="28">
        <v>13.097883400000001</v>
      </c>
      <c r="D317" s="28">
        <v>5.9033622799999996</v>
      </c>
      <c r="E317" s="28">
        <v>29.895485499999999</v>
      </c>
      <c r="F317" s="28">
        <v>21.9902753</v>
      </c>
      <c r="G317" s="28">
        <v>18.182465499999999</v>
      </c>
      <c r="H317" s="28">
        <v>49.944773499999997</v>
      </c>
      <c r="I317" s="28">
        <v>35.957137099999997</v>
      </c>
      <c r="J317" s="28">
        <v>975.96613300000001</v>
      </c>
      <c r="K317" s="28">
        <v>933.03092800000002</v>
      </c>
      <c r="L317" s="28">
        <v>5.0475923399999996</v>
      </c>
      <c r="M317" s="28">
        <v>106.059994</v>
      </c>
      <c r="N317" s="28">
        <v>51.179589399999998</v>
      </c>
      <c r="O317" s="28">
        <v>1010.31559</v>
      </c>
      <c r="P317" s="28">
        <v>989.68440799999996</v>
      </c>
    </row>
    <row r="318" spans="1:16" x14ac:dyDescent="0.25">
      <c r="A318" s="40">
        <v>1</v>
      </c>
      <c r="B318" s="40">
        <v>64</v>
      </c>
      <c r="C318" s="28">
        <v>13.2273414</v>
      </c>
      <c r="D318" s="28">
        <v>5.9468807999999997</v>
      </c>
      <c r="E318" s="28">
        <v>29.7471587</v>
      </c>
      <c r="F318" s="28">
        <v>21.968261999999999</v>
      </c>
      <c r="G318" s="28">
        <v>18.069273599999999</v>
      </c>
      <c r="H318" s="28">
        <v>50.087377799999999</v>
      </c>
      <c r="I318" s="28">
        <v>35.673479399999998</v>
      </c>
      <c r="J318" s="28">
        <v>973.67988500000001</v>
      </c>
      <c r="K318" s="28">
        <v>931.48647000000005</v>
      </c>
      <c r="L318" s="28">
        <v>5.0761266000000003</v>
      </c>
      <c r="M318" s="28">
        <v>105.880449</v>
      </c>
      <c r="N318" s="28">
        <v>51.407921199999997</v>
      </c>
      <c r="O318" s="28">
        <v>1016.0269500000001</v>
      </c>
      <c r="P318" s="28">
        <v>983.97304999999994</v>
      </c>
    </row>
    <row r="319" spans="1:16" x14ac:dyDescent="0.25">
      <c r="A319" s="40">
        <v>1</v>
      </c>
      <c r="B319" s="40">
        <v>65</v>
      </c>
      <c r="C319" s="28">
        <v>13.354752100000001</v>
      </c>
      <c r="D319" s="28">
        <v>5.8870432099999999</v>
      </c>
      <c r="E319" s="28">
        <v>29.640706300000002</v>
      </c>
      <c r="F319" s="28">
        <v>21.717991699999999</v>
      </c>
      <c r="G319" s="28">
        <v>17.8557168</v>
      </c>
      <c r="H319" s="28">
        <v>50.1578594</v>
      </c>
      <c r="I319" s="28">
        <v>35.305203499999998</v>
      </c>
      <c r="J319" s="28">
        <v>978.18905099999995</v>
      </c>
      <c r="K319" s="28">
        <v>930.594244</v>
      </c>
      <c r="L319" s="28">
        <v>5.0862763600000003</v>
      </c>
      <c r="M319" s="28">
        <v>105.423935</v>
      </c>
      <c r="N319" s="28">
        <v>51.633823900000003</v>
      </c>
      <c r="O319" s="28">
        <v>1018.05851</v>
      </c>
      <c r="P319" s="28">
        <v>981.94149500000003</v>
      </c>
    </row>
    <row r="320" spans="1:16" x14ac:dyDescent="0.25">
      <c r="A320" s="40">
        <v>1</v>
      </c>
      <c r="B320" s="40">
        <v>66</v>
      </c>
      <c r="C320" s="28">
        <v>13.325764400000001</v>
      </c>
      <c r="D320" s="28">
        <v>5.8801820200000003</v>
      </c>
      <c r="E320" s="28">
        <v>29.4311832</v>
      </c>
      <c r="F320" s="28">
        <v>21.535745500000001</v>
      </c>
      <c r="G320" s="28">
        <v>17.879587000000001</v>
      </c>
      <c r="H320" s="28">
        <v>50.020512799999999</v>
      </c>
      <c r="I320" s="28">
        <v>35.302635000000002</v>
      </c>
      <c r="J320" s="28">
        <v>974.89714400000003</v>
      </c>
      <c r="K320" s="28">
        <v>924.804666</v>
      </c>
      <c r="L320" s="28">
        <v>5.1228354100000004</v>
      </c>
      <c r="M320" s="28">
        <v>105.030218</v>
      </c>
      <c r="N320" s="28">
        <v>51.321181000000003</v>
      </c>
      <c r="O320" s="28">
        <v>1025.37609</v>
      </c>
      <c r="P320" s="28">
        <v>974.62391100000002</v>
      </c>
    </row>
    <row r="321" spans="1:16" x14ac:dyDescent="0.25">
      <c r="A321" s="40">
        <v>1</v>
      </c>
      <c r="B321" s="40">
        <v>67</v>
      </c>
      <c r="C321" s="28">
        <v>13.3615938</v>
      </c>
      <c r="D321" s="28">
        <v>5.8334581700000001</v>
      </c>
      <c r="E321" s="28">
        <v>29.5365106</v>
      </c>
      <c r="F321" s="28">
        <v>21.714043</v>
      </c>
      <c r="G321" s="28">
        <v>17.888640800000001</v>
      </c>
      <c r="H321" s="28">
        <v>49.8780128</v>
      </c>
      <c r="I321" s="28">
        <v>35.137287899999997</v>
      </c>
      <c r="J321" s="28">
        <v>978.204655</v>
      </c>
      <c r="K321" s="28">
        <v>922.09321</v>
      </c>
      <c r="L321" s="28">
        <v>5.1338266700000004</v>
      </c>
      <c r="M321" s="28">
        <v>105.27838800000001</v>
      </c>
      <c r="N321" s="28">
        <v>51.967659599999998</v>
      </c>
      <c r="O321" s="28">
        <v>1027.57608</v>
      </c>
      <c r="P321" s="28">
        <v>972.42392299999995</v>
      </c>
    </row>
    <row r="322" spans="1:16" x14ac:dyDescent="0.25">
      <c r="A322" s="40">
        <v>1</v>
      </c>
      <c r="B322" s="40">
        <v>68</v>
      </c>
      <c r="C322" s="28">
        <v>13.3445897</v>
      </c>
      <c r="D322" s="28">
        <v>5.8735738900000003</v>
      </c>
      <c r="E322" s="28">
        <v>29.551398599999999</v>
      </c>
      <c r="F322" s="28">
        <v>21.6623646</v>
      </c>
      <c r="G322" s="28">
        <v>17.782126600000002</v>
      </c>
      <c r="H322" s="28">
        <v>49.796181500000003</v>
      </c>
      <c r="I322" s="28">
        <v>35.380208099999997</v>
      </c>
      <c r="J322" s="28">
        <v>975.22742000000005</v>
      </c>
      <c r="K322" s="28">
        <v>917.27692999999999</v>
      </c>
      <c r="L322" s="28">
        <v>5.1090445999999998</v>
      </c>
      <c r="M322" s="28">
        <v>105.24118799999999</v>
      </c>
      <c r="N322" s="28">
        <v>51.7384208</v>
      </c>
      <c r="O322" s="28">
        <v>1022.61575</v>
      </c>
      <c r="P322" s="28">
        <v>977.38425199999995</v>
      </c>
    </row>
    <row r="323" spans="1:16" x14ac:dyDescent="0.25">
      <c r="A323" s="40">
        <v>1</v>
      </c>
      <c r="B323" s="40">
        <v>69</v>
      </c>
      <c r="C323" s="28">
        <v>13.339093699999999</v>
      </c>
      <c r="D323" s="28">
        <v>5.82904176</v>
      </c>
      <c r="E323" s="28">
        <v>29.518872500000001</v>
      </c>
      <c r="F323" s="28">
        <v>21.5577024</v>
      </c>
      <c r="G323" s="28">
        <v>17.690571200000001</v>
      </c>
      <c r="H323" s="28">
        <v>49.5288039</v>
      </c>
      <c r="I323" s="28">
        <v>34.831449900000003</v>
      </c>
      <c r="J323" s="28">
        <v>978.57798000000003</v>
      </c>
      <c r="K323" s="28">
        <v>915.06328299999996</v>
      </c>
      <c r="L323" s="28">
        <v>5.0591367700000003</v>
      </c>
      <c r="M323" s="28">
        <v>104.379479</v>
      </c>
      <c r="N323" s="28">
        <v>51.533102599999999</v>
      </c>
      <c r="O323" s="28">
        <v>1012.6263</v>
      </c>
      <c r="P323" s="28">
        <v>987.37369999999999</v>
      </c>
    </row>
    <row r="324" spans="1:16" x14ac:dyDescent="0.25">
      <c r="A324" s="40">
        <v>1</v>
      </c>
      <c r="B324" s="40">
        <v>70</v>
      </c>
      <c r="C324" s="28">
        <v>13.332968599999999</v>
      </c>
      <c r="D324" s="28">
        <v>5.8027347000000002</v>
      </c>
      <c r="E324" s="28">
        <v>29.304625999999999</v>
      </c>
      <c r="F324" s="28">
        <v>21.638987100000001</v>
      </c>
      <c r="G324" s="28">
        <v>17.76117</v>
      </c>
      <c r="H324" s="28">
        <v>49.387377499999999</v>
      </c>
      <c r="I324" s="28">
        <v>34.872036100000003</v>
      </c>
      <c r="J324" s="28">
        <v>975.78081399999996</v>
      </c>
      <c r="K324" s="28">
        <v>917.21845099999996</v>
      </c>
      <c r="L324" s="28">
        <v>5.0816443199999997</v>
      </c>
      <c r="M324" s="28">
        <v>104.169532</v>
      </c>
      <c r="N324" s="28">
        <v>51.107440199999999</v>
      </c>
      <c r="O324" s="28">
        <v>1017.13136</v>
      </c>
      <c r="P324" s="28">
        <v>982.86863600000004</v>
      </c>
    </row>
    <row r="325" spans="1:16" x14ac:dyDescent="0.25">
      <c r="A325" s="40">
        <v>1</v>
      </c>
      <c r="B325" s="40">
        <v>71</v>
      </c>
      <c r="C325" s="28">
        <v>13.2562338</v>
      </c>
      <c r="D325" s="28">
        <v>5.8433377999999996</v>
      </c>
      <c r="E325" s="28">
        <v>29.190312200000001</v>
      </c>
      <c r="F325" s="28">
        <v>21.4547335</v>
      </c>
      <c r="G325" s="28">
        <v>17.854152800000001</v>
      </c>
      <c r="H325" s="28">
        <v>49.506520100000003</v>
      </c>
      <c r="I325" s="28">
        <v>35.1172732</v>
      </c>
      <c r="J325" s="28">
        <v>977.79858000000002</v>
      </c>
      <c r="K325" s="28">
        <v>916.73100099999999</v>
      </c>
      <c r="L325" s="28">
        <v>5.0470112699999996</v>
      </c>
      <c r="M325" s="28">
        <v>104.33940699999999</v>
      </c>
      <c r="N325" s="28">
        <v>50.356460300000002</v>
      </c>
      <c r="O325" s="28">
        <v>1010.19929</v>
      </c>
      <c r="P325" s="28">
        <v>989.80071499999997</v>
      </c>
    </row>
    <row r="326" spans="1:16" x14ac:dyDescent="0.25">
      <c r="A326" s="40">
        <v>1</v>
      </c>
      <c r="B326" s="40">
        <v>72</v>
      </c>
      <c r="C326" s="28">
        <v>13.356757500000001</v>
      </c>
      <c r="D326" s="28">
        <v>5.8693698799999998</v>
      </c>
      <c r="E326" s="28">
        <v>29.178443699999999</v>
      </c>
      <c r="F326" s="28">
        <v>21.290605500000002</v>
      </c>
      <c r="G326" s="28">
        <v>17.9241931</v>
      </c>
      <c r="H326" s="28">
        <v>50.033627000000003</v>
      </c>
      <c r="I326" s="28">
        <v>35.3830952</v>
      </c>
      <c r="J326" s="28">
        <v>974.74556399999994</v>
      </c>
      <c r="K326" s="28">
        <v>916.08908899999994</v>
      </c>
      <c r="L326" s="28">
        <v>4.9471587000000001</v>
      </c>
      <c r="M326" s="28">
        <v>105.133706</v>
      </c>
      <c r="N326" s="28">
        <v>49.998377400000003</v>
      </c>
      <c r="O326" s="28">
        <v>990.21300199999996</v>
      </c>
      <c r="P326" s="28">
        <v>1009.787</v>
      </c>
    </row>
    <row r="327" spans="1:16" x14ac:dyDescent="0.25">
      <c r="A327" s="40">
        <v>1</v>
      </c>
      <c r="B327" s="40">
        <v>73</v>
      </c>
      <c r="C327" s="28">
        <v>13.349119399999999</v>
      </c>
      <c r="D327" s="28">
        <v>5.8457264499999999</v>
      </c>
      <c r="E327" s="28">
        <v>29.089447400000001</v>
      </c>
      <c r="F327" s="28">
        <v>21.294508499999999</v>
      </c>
      <c r="G327" s="28">
        <v>17.8514345</v>
      </c>
      <c r="H327" s="28">
        <v>50.1645124</v>
      </c>
      <c r="I327" s="28">
        <v>35.121763199999997</v>
      </c>
      <c r="J327" s="28">
        <v>978.24085700000001</v>
      </c>
      <c r="K327" s="28">
        <v>919.47024499999998</v>
      </c>
      <c r="L327" s="28">
        <v>4.9791777699999997</v>
      </c>
      <c r="M327" s="28">
        <v>104.863058</v>
      </c>
      <c r="N327" s="28">
        <v>49.7694087</v>
      </c>
      <c r="O327" s="28">
        <v>996.62187300000005</v>
      </c>
      <c r="P327" s="28">
        <v>1003.3781300000001</v>
      </c>
    </row>
    <row r="328" spans="1:16" x14ac:dyDescent="0.25">
      <c r="A328" s="40">
        <v>1</v>
      </c>
      <c r="B328" s="40">
        <v>74</v>
      </c>
      <c r="C328" s="28">
        <v>13.4662252</v>
      </c>
      <c r="D328" s="28">
        <v>5.8714434999999998</v>
      </c>
      <c r="E328" s="28">
        <v>29.169872099999999</v>
      </c>
      <c r="F328" s="28">
        <v>21.445586599999999</v>
      </c>
      <c r="G328" s="28">
        <v>17.9804177</v>
      </c>
      <c r="H328" s="28">
        <v>50.994721900000002</v>
      </c>
      <c r="I328" s="28">
        <v>35.524968700000002</v>
      </c>
      <c r="J328" s="28">
        <v>975.45224099999996</v>
      </c>
      <c r="K328" s="28">
        <v>913.93243600000005</v>
      </c>
      <c r="L328" s="28">
        <v>4.98993573</v>
      </c>
      <c r="M328" s="28">
        <v>105.653597</v>
      </c>
      <c r="N328" s="28">
        <v>49.645205900000001</v>
      </c>
      <c r="O328" s="28">
        <v>998.77516400000002</v>
      </c>
      <c r="P328" s="28">
        <v>1001.22484</v>
      </c>
    </row>
    <row r="329" spans="1:16" x14ac:dyDescent="0.25">
      <c r="A329" s="40">
        <v>1</v>
      </c>
      <c r="B329" s="40">
        <v>75</v>
      </c>
      <c r="C329" s="28">
        <v>13.4596207</v>
      </c>
      <c r="D329" s="28">
        <v>5.8619908199999999</v>
      </c>
      <c r="E329" s="28">
        <v>29.1647167</v>
      </c>
      <c r="F329" s="28">
        <v>21.474732299999999</v>
      </c>
      <c r="G329" s="28">
        <v>17.8929434</v>
      </c>
      <c r="H329" s="28">
        <v>50.687544500000001</v>
      </c>
      <c r="I329" s="28">
        <v>35.095993999999997</v>
      </c>
      <c r="J329" s="28">
        <v>978.60586799999999</v>
      </c>
      <c r="K329" s="28">
        <v>918.52927799999998</v>
      </c>
      <c r="L329" s="28">
        <v>5.0468477099999998</v>
      </c>
      <c r="M329" s="28">
        <v>105.408277</v>
      </c>
      <c r="N329" s="28">
        <v>49.350748500000002</v>
      </c>
      <c r="O329" s="28">
        <v>1010.16655</v>
      </c>
      <c r="P329" s="28">
        <v>989.83345199999997</v>
      </c>
    </row>
    <row r="330" spans="1:16" x14ac:dyDescent="0.25">
      <c r="A330" s="40">
        <v>1</v>
      </c>
      <c r="B330" s="40">
        <v>76</v>
      </c>
      <c r="C330" s="28">
        <v>13.3416414</v>
      </c>
      <c r="D330" s="28">
        <v>5.9012476300000003</v>
      </c>
      <c r="E330" s="28">
        <v>29.277035300000001</v>
      </c>
      <c r="F330" s="28">
        <v>21.3784642</v>
      </c>
      <c r="G330" s="28">
        <v>17.642328800000001</v>
      </c>
      <c r="H330" s="28">
        <v>51.379496000000003</v>
      </c>
      <c r="I330" s="28">
        <v>34.848541099999998</v>
      </c>
      <c r="J330" s="28">
        <v>976.30993000000001</v>
      </c>
      <c r="K330" s="28">
        <v>918.78616099999999</v>
      </c>
      <c r="L330" s="28">
        <v>5.0345814400000002</v>
      </c>
      <c r="M330" s="28">
        <v>105.297237</v>
      </c>
      <c r="N330" s="28">
        <v>48.9802246</v>
      </c>
      <c r="O330" s="28">
        <v>1007.71136</v>
      </c>
      <c r="P330" s="28">
        <v>992.28864199999998</v>
      </c>
    </row>
    <row r="331" spans="1:16" x14ac:dyDescent="0.25">
      <c r="A331" s="40">
        <v>1</v>
      </c>
      <c r="B331" s="40">
        <v>77</v>
      </c>
      <c r="C331" s="28">
        <v>13.4395396</v>
      </c>
      <c r="D331" s="28">
        <v>5.9001987900000001</v>
      </c>
      <c r="E331" s="28">
        <v>29.173092499999999</v>
      </c>
      <c r="F331" s="28">
        <v>21.310361400000001</v>
      </c>
      <c r="G331" s="28">
        <v>17.867569400000001</v>
      </c>
      <c r="H331" s="28">
        <v>51.315824900000003</v>
      </c>
      <c r="I331" s="28">
        <v>35.588414299999997</v>
      </c>
      <c r="J331" s="28">
        <v>978.51359200000002</v>
      </c>
      <c r="K331" s="28">
        <v>919.27756299999999</v>
      </c>
      <c r="L331" s="28">
        <v>5.0358930300000004</v>
      </c>
      <c r="M331" s="28">
        <v>105.748525</v>
      </c>
      <c r="N331" s="28">
        <v>48.593072300000003</v>
      </c>
      <c r="O331" s="28">
        <v>1007.97388</v>
      </c>
      <c r="P331" s="28">
        <v>992.02611899999999</v>
      </c>
    </row>
    <row r="332" spans="1:16" x14ac:dyDescent="0.25">
      <c r="A332" s="40">
        <v>1</v>
      </c>
      <c r="B332" s="40">
        <v>78</v>
      </c>
      <c r="C332" s="28">
        <v>13.448344799999999</v>
      </c>
      <c r="D332" s="28">
        <v>5.8346585800000001</v>
      </c>
      <c r="E332" s="28">
        <v>29.454588000000001</v>
      </c>
      <c r="F332" s="28">
        <v>21.273710699999999</v>
      </c>
      <c r="G332" s="28">
        <v>17.876569100000001</v>
      </c>
      <c r="H332" s="28">
        <v>51.047159499999999</v>
      </c>
      <c r="I332" s="28">
        <v>35.689319300000001</v>
      </c>
      <c r="J332" s="28">
        <v>975.50050899999997</v>
      </c>
      <c r="K332" s="28">
        <v>915.03094199999998</v>
      </c>
      <c r="L332" s="28">
        <v>5.0357990199999998</v>
      </c>
      <c r="M332" s="28">
        <v>105.646878</v>
      </c>
      <c r="N332" s="28">
        <v>47.810824699999998</v>
      </c>
      <c r="O332" s="28">
        <v>1007.95506</v>
      </c>
      <c r="P332" s="28">
        <v>992.04493600000001</v>
      </c>
    </row>
    <row r="333" spans="1:16" x14ac:dyDescent="0.25">
      <c r="A333" s="40">
        <v>1</v>
      </c>
      <c r="B333" s="40">
        <v>79</v>
      </c>
      <c r="C333" s="28">
        <v>13.4491459</v>
      </c>
      <c r="D333" s="28">
        <v>5.8338920999999999</v>
      </c>
      <c r="E333" s="28">
        <v>29.315547899999999</v>
      </c>
      <c r="F333" s="28">
        <v>21.2036318</v>
      </c>
      <c r="G333" s="28">
        <v>17.913354699999999</v>
      </c>
      <c r="H333" s="28">
        <v>50.880580000000002</v>
      </c>
      <c r="I333" s="28">
        <v>35.388911</v>
      </c>
      <c r="J333" s="28">
        <v>978.15533200000004</v>
      </c>
      <c r="K333" s="28">
        <v>921.19778499999995</v>
      </c>
      <c r="L333" s="28">
        <v>4.9605079600000002</v>
      </c>
      <c r="M333" s="28">
        <v>105.366383</v>
      </c>
      <c r="N333" s="28">
        <v>48.734606399999997</v>
      </c>
      <c r="O333" s="28">
        <v>992.88496299999997</v>
      </c>
      <c r="P333" s="28">
        <v>1007.11504</v>
      </c>
    </row>
    <row r="334" spans="1:16" x14ac:dyDescent="0.25">
      <c r="A334" s="40">
        <v>1</v>
      </c>
      <c r="B334" s="40">
        <v>80</v>
      </c>
      <c r="C334" s="28">
        <v>13.4290222</v>
      </c>
      <c r="D334" s="28">
        <v>5.8597822099999997</v>
      </c>
      <c r="E334" s="28">
        <v>29.433807600000002</v>
      </c>
      <c r="F334" s="28">
        <v>21.122652200000001</v>
      </c>
      <c r="G334" s="28">
        <v>17.833338999999999</v>
      </c>
      <c r="H334" s="28">
        <v>50.473075000000001</v>
      </c>
      <c r="I334" s="28">
        <v>35.261256299999999</v>
      </c>
      <c r="J334" s="28">
        <v>975.09616100000005</v>
      </c>
      <c r="K334" s="28">
        <v>924.087492</v>
      </c>
      <c r="L334" s="28">
        <v>4.9959003400000004</v>
      </c>
      <c r="M334" s="28">
        <v>105.395371</v>
      </c>
      <c r="N334" s="28">
        <v>48.692641600000002</v>
      </c>
      <c r="O334" s="28">
        <v>999.96902899999998</v>
      </c>
      <c r="P334" s="28">
        <v>1000.03097</v>
      </c>
    </row>
    <row r="335" spans="1:16" x14ac:dyDescent="0.25">
      <c r="A335" s="40">
        <v>1</v>
      </c>
      <c r="B335" s="40">
        <v>81</v>
      </c>
      <c r="C335" s="28">
        <v>13.3929487</v>
      </c>
      <c r="D335" s="28">
        <v>5.86849182</v>
      </c>
      <c r="E335" s="28">
        <v>29.233030200000002</v>
      </c>
      <c r="F335" s="28">
        <v>21.079650999999998</v>
      </c>
      <c r="G335" s="28">
        <v>17.957772599999998</v>
      </c>
      <c r="H335" s="28">
        <v>50.6118557</v>
      </c>
      <c r="I335" s="28">
        <v>35.706541000000001</v>
      </c>
      <c r="J335" s="28">
        <v>977.37244499999997</v>
      </c>
      <c r="K335" s="28">
        <v>923.51024299999995</v>
      </c>
      <c r="L335" s="28">
        <v>5.0407257100000002</v>
      </c>
      <c r="M335" s="28">
        <v>105.62916</v>
      </c>
      <c r="N335" s="28">
        <v>49.324621200000003</v>
      </c>
      <c r="O335" s="28">
        <v>1008.94118</v>
      </c>
      <c r="P335" s="28">
        <v>991.05881999999997</v>
      </c>
    </row>
    <row r="336" spans="1:16" x14ac:dyDescent="0.25">
      <c r="A336" s="40">
        <v>1</v>
      </c>
      <c r="B336" s="40">
        <v>82</v>
      </c>
      <c r="C336" s="28">
        <v>13.298273</v>
      </c>
      <c r="D336" s="28">
        <v>5.9317125500000003</v>
      </c>
      <c r="E336" s="28">
        <v>29.228490799999999</v>
      </c>
      <c r="F336" s="28">
        <v>21.081351600000001</v>
      </c>
      <c r="G336" s="28">
        <v>17.936238899999999</v>
      </c>
      <c r="H336" s="28">
        <v>49.2181608</v>
      </c>
      <c r="I336" s="28">
        <v>35.712962500000003</v>
      </c>
      <c r="J336" s="28">
        <v>973.57601099999999</v>
      </c>
      <c r="K336" s="28">
        <v>921.62343099999998</v>
      </c>
      <c r="L336" s="28">
        <v>4.9733987400000004</v>
      </c>
      <c r="M336" s="28">
        <v>105.19707099999999</v>
      </c>
      <c r="N336" s="28">
        <v>49.073294300000001</v>
      </c>
      <c r="O336" s="28">
        <v>995.46515399999998</v>
      </c>
      <c r="P336" s="28">
        <v>1004.53485</v>
      </c>
    </row>
    <row r="337" spans="1:16" x14ac:dyDescent="0.25">
      <c r="A337" s="40">
        <v>1</v>
      </c>
      <c r="B337" s="40">
        <v>83</v>
      </c>
      <c r="C337" s="28">
        <v>13.4061194</v>
      </c>
      <c r="D337" s="28">
        <v>5.9563074399999998</v>
      </c>
      <c r="E337" s="28">
        <v>29.3262754</v>
      </c>
      <c r="F337" s="28">
        <v>21.170271199999998</v>
      </c>
      <c r="G337" s="28">
        <v>18.101497500000001</v>
      </c>
      <c r="H337" s="28">
        <v>49.047613800000001</v>
      </c>
      <c r="I337" s="28">
        <v>36.161263099999999</v>
      </c>
      <c r="J337" s="28">
        <v>975.63761</v>
      </c>
      <c r="K337" s="28">
        <v>925.50816199999997</v>
      </c>
      <c r="L337" s="28">
        <v>4.9319691399999996</v>
      </c>
      <c r="M337" s="28">
        <v>105.574541</v>
      </c>
      <c r="N337" s="28">
        <v>48.912997400000002</v>
      </c>
      <c r="O337" s="28">
        <v>987.17269199999998</v>
      </c>
      <c r="P337" s="28">
        <v>1012.82731</v>
      </c>
    </row>
    <row r="338" spans="1:16" x14ac:dyDescent="0.25">
      <c r="A338" s="40">
        <v>1</v>
      </c>
      <c r="B338" s="40">
        <v>84</v>
      </c>
      <c r="C338" s="28">
        <v>13.4065599</v>
      </c>
      <c r="D338" s="28">
        <v>5.9787443099999997</v>
      </c>
      <c r="E338" s="28">
        <v>29.044182299999999</v>
      </c>
      <c r="F338" s="28">
        <v>21.017487599999999</v>
      </c>
      <c r="G338" s="28">
        <v>18.005512599999999</v>
      </c>
      <c r="H338" s="28">
        <v>49.398959400000003</v>
      </c>
      <c r="I338" s="28">
        <v>36.410403299999999</v>
      </c>
      <c r="J338" s="28">
        <v>973.68141300000002</v>
      </c>
      <c r="K338" s="28">
        <v>923.85722199999998</v>
      </c>
      <c r="L338" s="28">
        <v>4.9421345199999998</v>
      </c>
      <c r="M338" s="28">
        <v>105.614107</v>
      </c>
      <c r="N338" s="28">
        <v>49.086520800000002</v>
      </c>
      <c r="O338" s="28">
        <v>989.20737299999996</v>
      </c>
      <c r="P338" s="28">
        <v>1010.79263</v>
      </c>
    </row>
    <row r="339" spans="1:16" x14ac:dyDescent="0.25">
      <c r="A339" s="40">
        <v>1</v>
      </c>
      <c r="B339" s="40">
        <v>85</v>
      </c>
      <c r="C339" s="28">
        <v>13.3740635</v>
      </c>
      <c r="D339" s="28">
        <v>6.01087375</v>
      </c>
      <c r="E339" s="28">
        <v>28.978548199999999</v>
      </c>
      <c r="F339" s="28">
        <v>20.84104</v>
      </c>
      <c r="G339" s="28">
        <v>17.784364799999999</v>
      </c>
      <c r="H339" s="28">
        <v>49.0766761</v>
      </c>
      <c r="I339" s="28">
        <v>36.1569158</v>
      </c>
      <c r="J339" s="28">
        <v>976.72734600000001</v>
      </c>
      <c r="K339" s="28">
        <v>921.99109999999996</v>
      </c>
      <c r="L339" s="28">
        <v>4.8794131600000004</v>
      </c>
      <c r="M339" s="28">
        <v>105.02751000000001</v>
      </c>
      <c r="N339" s="28">
        <v>49.099645799999998</v>
      </c>
      <c r="O339" s="28">
        <v>976.65319599999998</v>
      </c>
      <c r="P339" s="28">
        <v>1023.3468</v>
      </c>
    </row>
    <row r="340" spans="1:16" x14ac:dyDescent="0.25">
      <c r="A340" s="40">
        <v>1</v>
      </c>
      <c r="B340" s="40">
        <v>86</v>
      </c>
      <c r="C340" s="28">
        <v>13.374055800000001</v>
      </c>
      <c r="D340" s="28">
        <v>5.9742936799999997</v>
      </c>
      <c r="E340" s="28">
        <v>29.359698900000001</v>
      </c>
      <c r="F340" s="28">
        <v>20.749576900000001</v>
      </c>
      <c r="G340" s="28">
        <v>17.770122000000001</v>
      </c>
      <c r="H340" s="28">
        <v>49.7726136</v>
      </c>
      <c r="I340" s="28">
        <v>36.508376400000003</v>
      </c>
      <c r="J340" s="28">
        <v>973.94192299999997</v>
      </c>
      <c r="K340" s="28">
        <v>923.62015299999996</v>
      </c>
      <c r="L340" s="28">
        <v>4.9174328000000003</v>
      </c>
      <c r="M340" s="28">
        <v>105.07952899999999</v>
      </c>
      <c r="N340" s="28">
        <v>49.3770886</v>
      </c>
      <c r="O340" s="28">
        <v>984.26312900000005</v>
      </c>
      <c r="P340" s="28">
        <v>1015.73687</v>
      </c>
    </row>
    <row r="341" spans="1:16" x14ac:dyDescent="0.25">
      <c r="A341" s="40">
        <v>1</v>
      </c>
      <c r="B341" s="40">
        <v>87</v>
      </c>
      <c r="C341" s="28">
        <v>13.4124155</v>
      </c>
      <c r="D341" s="28">
        <v>5.9830865700000002</v>
      </c>
      <c r="E341" s="28">
        <v>29.451581900000001</v>
      </c>
      <c r="F341" s="28">
        <v>20.903684200000001</v>
      </c>
      <c r="G341" s="28">
        <v>17.8216821</v>
      </c>
      <c r="H341" s="28">
        <v>49.637517099999997</v>
      </c>
      <c r="I341" s="28">
        <v>36.498054799999998</v>
      </c>
      <c r="J341" s="28">
        <v>976.39139499999999</v>
      </c>
      <c r="K341" s="28">
        <v>921.11098900000002</v>
      </c>
      <c r="L341" s="28">
        <v>4.9206512900000003</v>
      </c>
      <c r="M341" s="28">
        <v>105.33319</v>
      </c>
      <c r="N341" s="28">
        <v>49.594165799999999</v>
      </c>
      <c r="O341" s="28">
        <v>984.90733599999999</v>
      </c>
      <c r="P341" s="28">
        <v>1015.09266</v>
      </c>
    </row>
    <row r="342" spans="1:16" x14ac:dyDescent="0.25">
      <c r="A342" s="40">
        <v>1</v>
      </c>
      <c r="B342" s="40">
        <v>88</v>
      </c>
      <c r="C342" s="28">
        <v>13.3744549</v>
      </c>
      <c r="D342" s="28">
        <v>5.97083224</v>
      </c>
      <c r="E342" s="28">
        <v>29.4765041</v>
      </c>
      <c r="F342" s="28">
        <v>20.797118099999999</v>
      </c>
      <c r="G342" s="28">
        <v>17.867176700000002</v>
      </c>
      <c r="H342" s="28">
        <v>50.4619991</v>
      </c>
      <c r="I342" s="28">
        <v>36.510113400000002</v>
      </c>
      <c r="J342" s="28">
        <v>973.63682600000004</v>
      </c>
      <c r="K342" s="28">
        <v>917.71570799999995</v>
      </c>
      <c r="L342" s="28">
        <v>4.8956277200000002</v>
      </c>
      <c r="M342" s="28">
        <v>105.268201</v>
      </c>
      <c r="N342" s="28">
        <v>49.835753699999998</v>
      </c>
      <c r="O342" s="28">
        <v>979.89867000000004</v>
      </c>
      <c r="P342" s="28">
        <v>1020.10133</v>
      </c>
    </row>
    <row r="343" spans="1:16" x14ac:dyDescent="0.25">
      <c r="A343" s="40">
        <v>1</v>
      </c>
      <c r="B343" s="40">
        <v>89</v>
      </c>
      <c r="C343" s="28">
        <v>13.477672</v>
      </c>
      <c r="D343" s="28">
        <v>6.01044205</v>
      </c>
      <c r="E343" s="28">
        <v>29.704029500000001</v>
      </c>
      <c r="F343" s="28">
        <v>20.931388699999999</v>
      </c>
      <c r="G343" s="28">
        <v>17.8455963</v>
      </c>
      <c r="H343" s="28">
        <v>51.076474500000003</v>
      </c>
      <c r="I343" s="28">
        <v>36.805132700000001</v>
      </c>
      <c r="J343" s="28">
        <v>976.57756500000005</v>
      </c>
      <c r="K343" s="28">
        <v>920.23329999999999</v>
      </c>
      <c r="L343" s="28">
        <v>4.9193695699999997</v>
      </c>
      <c r="M343" s="28">
        <v>106.15558799999999</v>
      </c>
      <c r="N343" s="28">
        <v>50.190362200000003</v>
      </c>
      <c r="O343" s="28">
        <v>984.65078700000004</v>
      </c>
      <c r="P343" s="28">
        <v>1015.34921</v>
      </c>
    </row>
    <row r="344" spans="1:16" x14ac:dyDescent="0.25">
      <c r="A344" s="40">
        <v>1</v>
      </c>
      <c r="B344" s="40">
        <v>90</v>
      </c>
      <c r="C344" s="28">
        <v>13.4720131</v>
      </c>
      <c r="D344" s="28">
        <v>6.07043511</v>
      </c>
      <c r="E344" s="28">
        <v>29.821745</v>
      </c>
      <c r="F344" s="28">
        <v>21.0574583</v>
      </c>
      <c r="G344" s="28">
        <v>17.911183300000001</v>
      </c>
      <c r="H344" s="28">
        <v>50.799161699999999</v>
      </c>
      <c r="I344" s="28">
        <v>36.779046899999997</v>
      </c>
      <c r="J344" s="28">
        <v>973.22851500000002</v>
      </c>
      <c r="K344" s="28">
        <v>916.34421799999996</v>
      </c>
      <c r="L344" s="28">
        <v>4.9712174500000001</v>
      </c>
      <c r="M344" s="28">
        <v>106.45898200000001</v>
      </c>
      <c r="N344" s="28">
        <v>50.525257699999997</v>
      </c>
      <c r="O344" s="28">
        <v>995.02855199999999</v>
      </c>
      <c r="P344" s="28">
        <v>1004.97145</v>
      </c>
    </row>
    <row r="345" spans="1:16" x14ac:dyDescent="0.25">
      <c r="A345" s="40">
        <v>1</v>
      </c>
      <c r="B345" s="40">
        <v>91</v>
      </c>
      <c r="C345" s="28">
        <v>13.520431800000001</v>
      </c>
      <c r="D345" s="28">
        <v>6.0532230800000004</v>
      </c>
      <c r="E345" s="28">
        <v>30.193319899999999</v>
      </c>
      <c r="F345" s="28">
        <v>21.152534899999999</v>
      </c>
      <c r="G345" s="28">
        <v>17.883631399999999</v>
      </c>
      <c r="H345" s="28">
        <v>50.683234200000001</v>
      </c>
      <c r="I345" s="28">
        <v>36.948526100000002</v>
      </c>
      <c r="J345" s="28">
        <v>975.73155599999996</v>
      </c>
      <c r="K345" s="28">
        <v>920.75725799999998</v>
      </c>
      <c r="L345" s="28">
        <v>5.0013941500000003</v>
      </c>
      <c r="M345" s="28">
        <v>106.529106</v>
      </c>
      <c r="N345" s="28">
        <v>50.964439400000003</v>
      </c>
      <c r="O345" s="28">
        <v>1001.06866</v>
      </c>
      <c r="P345" s="28">
        <v>998.93134199999997</v>
      </c>
    </row>
    <row r="346" spans="1:16" x14ac:dyDescent="0.25">
      <c r="A346" s="40">
        <v>1</v>
      </c>
      <c r="B346" s="40">
        <v>92</v>
      </c>
      <c r="C346" s="28">
        <v>13.536476</v>
      </c>
      <c r="D346" s="28">
        <v>6.0681293700000003</v>
      </c>
      <c r="E346" s="28">
        <v>29.979301199999998</v>
      </c>
      <c r="F346" s="28">
        <v>20.865366699999999</v>
      </c>
      <c r="G346" s="28">
        <v>17.924224500000001</v>
      </c>
      <c r="H346" s="28">
        <v>50.340534499999997</v>
      </c>
      <c r="I346" s="28">
        <v>37.093641599999998</v>
      </c>
      <c r="J346" s="28">
        <v>972.73444199999994</v>
      </c>
      <c r="K346" s="28">
        <v>914.53630599999997</v>
      </c>
      <c r="L346" s="28">
        <v>5.0157155299999996</v>
      </c>
      <c r="M346" s="28">
        <v>106.121707</v>
      </c>
      <c r="N346" s="28">
        <v>51.9519594</v>
      </c>
      <c r="O346" s="28">
        <v>1003.9352</v>
      </c>
      <c r="P346" s="28">
        <v>996.06480399999998</v>
      </c>
    </row>
    <row r="347" spans="1:16" x14ac:dyDescent="0.25">
      <c r="A347" s="40">
        <v>1</v>
      </c>
      <c r="B347" s="40">
        <v>93</v>
      </c>
      <c r="C347" s="28">
        <v>13.5959001</v>
      </c>
      <c r="D347" s="28">
        <v>6.0285284900000002</v>
      </c>
      <c r="E347" s="28">
        <v>29.859214099999999</v>
      </c>
      <c r="F347" s="28">
        <v>20.892830199999999</v>
      </c>
      <c r="G347" s="28">
        <v>17.9063692</v>
      </c>
      <c r="H347" s="28">
        <v>49.783027099999998</v>
      </c>
      <c r="I347" s="28">
        <v>36.884833100000002</v>
      </c>
      <c r="J347" s="28">
        <v>975.749731</v>
      </c>
      <c r="K347" s="28">
        <v>911.17065600000001</v>
      </c>
      <c r="L347" s="28">
        <v>4.9906612199999998</v>
      </c>
      <c r="M347" s="28">
        <v>105.80373899999999</v>
      </c>
      <c r="N347" s="28">
        <v>51.536955599999999</v>
      </c>
      <c r="O347" s="28">
        <v>998.92037700000003</v>
      </c>
      <c r="P347" s="28">
        <v>1001.07962</v>
      </c>
    </row>
    <row r="348" spans="1:16" x14ac:dyDescent="0.25">
      <c r="A348" s="40">
        <v>1</v>
      </c>
      <c r="B348" s="40">
        <v>94</v>
      </c>
      <c r="C348" s="28">
        <v>13.6394216</v>
      </c>
      <c r="D348" s="28">
        <v>6.0914706499999998</v>
      </c>
      <c r="E348" s="28">
        <v>30.164728100000001</v>
      </c>
      <c r="F348" s="28">
        <v>20.974080900000001</v>
      </c>
      <c r="G348" s="28">
        <v>17.937573199999999</v>
      </c>
      <c r="H348" s="28">
        <v>49.579343299999998</v>
      </c>
      <c r="I348" s="28">
        <v>37.158869299999999</v>
      </c>
      <c r="J348" s="28">
        <v>972.53667299999995</v>
      </c>
      <c r="K348" s="28">
        <v>914.90572699999996</v>
      </c>
      <c r="L348" s="28">
        <v>4.96551454</v>
      </c>
      <c r="M348" s="28">
        <v>106.022829</v>
      </c>
      <c r="N348" s="28">
        <v>51.926659299999997</v>
      </c>
      <c r="O348" s="28">
        <v>993.887069</v>
      </c>
      <c r="P348" s="28">
        <v>1006.11293</v>
      </c>
    </row>
    <row r="349" spans="1:16" x14ac:dyDescent="0.25">
      <c r="A349" s="40">
        <v>1</v>
      </c>
      <c r="B349" s="40">
        <v>95</v>
      </c>
      <c r="C349" s="28">
        <v>13.7908388</v>
      </c>
      <c r="D349" s="28">
        <v>6.1210051300000003</v>
      </c>
      <c r="E349" s="28">
        <v>30.495736699999998</v>
      </c>
      <c r="F349" s="28">
        <v>21.1790813</v>
      </c>
      <c r="G349" s="28">
        <v>18.1359487</v>
      </c>
      <c r="H349" s="28">
        <v>50.014566899999998</v>
      </c>
      <c r="I349" s="28">
        <v>37.907619699999998</v>
      </c>
      <c r="J349" s="28">
        <v>974.52883199999997</v>
      </c>
      <c r="K349" s="28">
        <v>923.26248099999998</v>
      </c>
      <c r="L349" s="28">
        <v>4.9627442300000002</v>
      </c>
      <c r="M349" s="28">
        <v>107.10843199999999</v>
      </c>
      <c r="N349" s="28">
        <v>51.57593</v>
      </c>
      <c r="O349" s="28">
        <v>993.33257100000003</v>
      </c>
      <c r="P349" s="28">
        <v>1006.66743</v>
      </c>
    </row>
    <row r="350" spans="1:16" x14ac:dyDescent="0.25">
      <c r="A350" s="40">
        <v>1</v>
      </c>
      <c r="B350" s="40">
        <v>96</v>
      </c>
      <c r="C350" s="28">
        <v>13.7733527</v>
      </c>
      <c r="D350" s="28">
        <v>6.08095651</v>
      </c>
      <c r="E350" s="28">
        <v>30.3448244</v>
      </c>
      <c r="F350" s="28">
        <v>21.0995384</v>
      </c>
      <c r="G350" s="28">
        <v>18.257180600000002</v>
      </c>
      <c r="H350" s="28">
        <v>49.427070499999999</v>
      </c>
      <c r="I350" s="28">
        <v>37.8451041</v>
      </c>
      <c r="J350" s="28">
        <v>971.59458600000005</v>
      </c>
      <c r="K350" s="28">
        <v>922.571461</v>
      </c>
      <c r="L350" s="28">
        <v>5.0243092200000001</v>
      </c>
      <c r="M350" s="28">
        <v>106.886871</v>
      </c>
      <c r="N350" s="28">
        <v>51.910249899999997</v>
      </c>
      <c r="O350" s="28">
        <v>1005.65529</v>
      </c>
      <c r="P350" s="28">
        <v>994.34470899999997</v>
      </c>
    </row>
    <row r="351" spans="1:16" x14ac:dyDescent="0.25">
      <c r="A351" s="40">
        <v>1</v>
      </c>
      <c r="B351" s="40">
        <v>97</v>
      </c>
      <c r="C351" s="28">
        <v>13.8106156</v>
      </c>
      <c r="D351" s="28">
        <v>6.0577379599999999</v>
      </c>
      <c r="E351" s="28">
        <v>30.2489676</v>
      </c>
      <c r="F351" s="28">
        <v>21.117450900000001</v>
      </c>
      <c r="G351" s="28">
        <v>18.153270500000001</v>
      </c>
      <c r="H351" s="28">
        <v>49.615513999999997</v>
      </c>
      <c r="I351" s="28">
        <v>37.395576599999998</v>
      </c>
      <c r="J351" s="28">
        <v>975.00984800000003</v>
      </c>
      <c r="K351" s="28">
        <v>923.92870500000004</v>
      </c>
      <c r="L351" s="28">
        <v>5.0175237800000003</v>
      </c>
      <c r="M351" s="28">
        <v>106.841126</v>
      </c>
      <c r="N351" s="28">
        <v>51.917684899999998</v>
      </c>
      <c r="O351" s="28">
        <v>1004.29713</v>
      </c>
      <c r="P351" s="28">
        <v>995.70286799999997</v>
      </c>
    </row>
    <row r="352" spans="1:16" x14ac:dyDescent="0.25">
      <c r="A352" s="40">
        <v>1</v>
      </c>
      <c r="B352" s="40">
        <v>98</v>
      </c>
      <c r="C352" s="28">
        <v>13.726083900000001</v>
      </c>
      <c r="D352" s="28">
        <v>6.0792160800000001</v>
      </c>
      <c r="E352" s="28">
        <v>30.2536241</v>
      </c>
      <c r="F352" s="28">
        <v>21.167513</v>
      </c>
      <c r="G352" s="28">
        <v>18.165131500000001</v>
      </c>
      <c r="H352" s="28">
        <v>49.713663099999998</v>
      </c>
      <c r="I352" s="28">
        <v>37.541395600000001</v>
      </c>
      <c r="J352" s="28">
        <v>972.47059899999999</v>
      </c>
      <c r="K352" s="28">
        <v>918.25809900000002</v>
      </c>
      <c r="L352" s="28">
        <v>5.0645295900000002</v>
      </c>
      <c r="M352" s="28">
        <v>107.23044899999999</v>
      </c>
      <c r="N352" s="28">
        <v>52.170997999999997</v>
      </c>
      <c r="O352" s="28">
        <v>1013.70572</v>
      </c>
      <c r="P352" s="28">
        <v>986.29428399999995</v>
      </c>
    </row>
    <row r="353" spans="1:16" x14ac:dyDescent="0.25">
      <c r="A353" s="40">
        <v>1</v>
      </c>
      <c r="B353" s="40">
        <v>99</v>
      </c>
      <c r="C353" s="28">
        <v>13.5155353</v>
      </c>
      <c r="D353" s="28">
        <v>6.0453660200000003</v>
      </c>
      <c r="E353" s="28">
        <v>30.4794223</v>
      </c>
      <c r="F353" s="28">
        <v>21.2422203</v>
      </c>
      <c r="G353" s="28">
        <v>18.0311159</v>
      </c>
      <c r="H353" s="28">
        <v>49.5602898</v>
      </c>
      <c r="I353" s="28">
        <v>37.773470099999997</v>
      </c>
      <c r="J353" s="28">
        <v>974.821371</v>
      </c>
      <c r="K353" s="28">
        <v>921.38061100000004</v>
      </c>
      <c r="L353" s="28">
        <v>5.02336487</v>
      </c>
      <c r="M353" s="28">
        <v>107.02762300000001</v>
      </c>
      <c r="N353" s="28">
        <v>52.6767422</v>
      </c>
      <c r="O353" s="28">
        <v>1005.46627</v>
      </c>
      <c r="P353" s="28">
        <v>994.53372899999999</v>
      </c>
    </row>
    <row r="354" spans="1:16" x14ac:dyDescent="0.25">
      <c r="A354" s="40">
        <v>1</v>
      </c>
      <c r="B354" s="40">
        <v>100</v>
      </c>
      <c r="C354" s="28">
        <v>13.529034599999999</v>
      </c>
      <c r="D354" s="28">
        <v>6.0592811400000004</v>
      </c>
      <c r="E354" s="28">
        <v>30.715181699999999</v>
      </c>
      <c r="F354" s="28">
        <v>21.336174100000001</v>
      </c>
      <c r="G354" s="28">
        <v>17.920500100000002</v>
      </c>
      <c r="H354" s="28">
        <v>49.449586500000002</v>
      </c>
      <c r="I354" s="28">
        <v>37.923623499999998</v>
      </c>
      <c r="J354" s="28">
        <v>972.88083500000005</v>
      </c>
      <c r="K354" s="28">
        <v>918.57349899999997</v>
      </c>
      <c r="L354" s="28">
        <v>5.0212342699999999</v>
      </c>
      <c r="M354" s="28">
        <v>106.83519099999999</v>
      </c>
      <c r="N354" s="28">
        <v>52.828947999999997</v>
      </c>
      <c r="O354" s="28">
        <v>1005.03982</v>
      </c>
      <c r="P354" s="28">
        <v>994.96018500000002</v>
      </c>
    </row>
    <row r="355" spans="1:16" x14ac:dyDescent="0.25">
      <c r="A355" s="40">
        <v>1</v>
      </c>
      <c r="B355" s="40">
        <v>101</v>
      </c>
      <c r="C355" s="28">
        <v>13.489009899999999</v>
      </c>
      <c r="D355" s="28">
        <v>6.0567977099999997</v>
      </c>
      <c r="E355" s="28">
        <v>30.375106599999999</v>
      </c>
      <c r="F355" s="28">
        <v>21.333965200000002</v>
      </c>
      <c r="G355" s="28">
        <v>18.0383487</v>
      </c>
      <c r="H355" s="28">
        <v>49.318997500000002</v>
      </c>
      <c r="I355" s="28">
        <v>38.002492500000002</v>
      </c>
      <c r="J355" s="28">
        <v>975.09974099999999</v>
      </c>
      <c r="K355" s="28">
        <v>913.12302099999999</v>
      </c>
      <c r="L355" s="28">
        <v>5.0026868000000002</v>
      </c>
      <c r="M355" s="28">
        <v>106.649068</v>
      </c>
      <c r="N355" s="28">
        <v>52.293576799999997</v>
      </c>
      <c r="O355" s="28">
        <v>1001.32739</v>
      </c>
      <c r="P355" s="28">
        <v>998.67260699999997</v>
      </c>
    </row>
    <row r="356" spans="1:16" x14ac:dyDescent="0.25">
      <c r="A356" s="40">
        <v>1</v>
      </c>
      <c r="B356" s="40">
        <v>102</v>
      </c>
      <c r="C356" s="28">
        <v>13.461245</v>
      </c>
      <c r="D356" s="28">
        <v>6.0338314300000002</v>
      </c>
      <c r="E356" s="28">
        <v>30.673800499999999</v>
      </c>
      <c r="F356" s="28">
        <v>21.574372</v>
      </c>
      <c r="G356" s="28">
        <v>18.051347100000001</v>
      </c>
      <c r="H356" s="28">
        <v>49.315410499999999</v>
      </c>
      <c r="I356" s="28">
        <v>38.069085399999999</v>
      </c>
      <c r="J356" s="28">
        <v>972.84901400000001</v>
      </c>
      <c r="K356" s="28">
        <v>910.95344</v>
      </c>
      <c r="L356" s="28">
        <v>5.0198925699999997</v>
      </c>
      <c r="M356" s="28">
        <v>107.324201</v>
      </c>
      <c r="N356" s="28">
        <v>52.042778200000001</v>
      </c>
      <c r="O356" s="28">
        <v>1004.77126</v>
      </c>
      <c r="P356" s="28">
        <v>995.22873600000003</v>
      </c>
    </row>
    <row r="357" spans="1:16" x14ac:dyDescent="0.25">
      <c r="A357" s="40">
        <v>1</v>
      </c>
      <c r="B357" s="40">
        <v>103</v>
      </c>
      <c r="C357" s="28">
        <v>13.4846407</v>
      </c>
      <c r="D357" s="28">
        <v>6.1045860599999999</v>
      </c>
      <c r="E357" s="28">
        <v>30.553208099999999</v>
      </c>
      <c r="F357" s="28">
        <v>21.613021100000001</v>
      </c>
      <c r="G357" s="28">
        <v>18.095339200000002</v>
      </c>
      <c r="H357" s="28">
        <v>49.314818099999997</v>
      </c>
      <c r="I357" s="28">
        <v>37.165941199999999</v>
      </c>
      <c r="J357" s="28">
        <v>974.93352400000003</v>
      </c>
      <c r="K357" s="28">
        <v>916.84881099999996</v>
      </c>
      <c r="L357" s="28">
        <v>4.9706848199999998</v>
      </c>
      <c r="M357" s="28">
        <v>107.315764</v>
      </c>
      <c r="N357" s="28">
        <v>51.374268499999999</v>
      </c>
      <c r="O357" s="28">
        <v>994.92194099999995</v>
      </c>
      <c r="P357" s="28">
        <v>1005.0780600000001</v>
      </c>
    </row>
    <row r="358" spans="1:16" x14ac:dyDescent="0.25">
      <c r="A358" s="40">
        <v>1</v>
      </c>
      <c r="B358" s="40">
        <v>104</v>
      </c>
      <c r="C358" s="28">
        <v>13.3477605</v>
      </c>
      <c r="D358" s="28">
        <v>6.0555643899999998</v>
      </c>
      <c r="E358" s="28">
        <v>30.390679899999999</v>
      </c>
      <c r="F358" s="28">
        <v>21.575762699999999</v>
      </c>
      <c r="G358" s="28">
        <v>17.938570200000001</v>
      </c>
      <c r="H358" s="28">
        <v>48.9101547</v>
      </c>
      <c r="I358" s="28">
        <v>37.108973300000002</v>
      </c>
      <c r="J358" s="28">
        <v>973.358611</v>
      </c>
      <c r="K358" s="28">
        <v>911.82320400000003</v>
      </c>
      <c r="L358" s="28">
        <v>5.0334592300000001</v>
      </c>
      <c r="M358" s="28">
        <v>106.51993</v>
      </c>
      <c r="N358" s="28">
        <v>51.049719600000003</v>
      </c>
      <c r="O358" s="28">
        <v>1007.4867400000001</v>
      </c>
      <c r="P358" s="28">
        <v>992.51326300000005</v>
      </c>
    </row>
    <row r="359" spans="1:16" x14ac:dyDescent="0.25">
      <c r="A359" s="40">
        <v>1</v>
      </c>
      <c r="B359" s="40">
        <v>105</v>
      </c>
      <c r="C359" s="28">
        <v>13.3281107</v>
      </c>
      <c r="D359" s="28">
        <v>6.0580789299999998</v>
      </c>
      <c r="E359" s="28">
        <v>30.269084599999999</v>
      </c>
      <c r="F359" s="28">
        <v>21.459997000000001</v>
      </c>
      <c r="G359" s="28">
        <v>17.911506299999999</v>
      </c>
      <c r="H359" s="28">
        <v>49.243569100000002</v>
      </c>
      <c r="I359" s="28">
        <v>36.488233899999997</v>
      </c>
      <c r="J359" s="28">
        <v>975.89011600000003</v>
      </c>
      <c r="K359" s="28">
        <v>914.60129300000006</v>
      </c>
      <c r="L359" s="28">
        <v>4.9980109400000003</v>
      </c>
      <c r="M359" s="28">
        <v>106.50942499999999</v>
      </c>
      <c r="N359" s="28">
        <v>50.478317599999997</v>
      </c>
      <c r="O359" s="28">
        <v>1000.39148</v>
      </c>
      <c r="P359" s="28">
        <v>999.608518</v>
      </c>
    </row>
    <row r="360" spans="1:16" x14ac:dyDescent="0.25">
      <c r="A360" s="40">
        <v>1</v>
      </c>
      <c r="B360" s="40">
        <v>106</v>
      </c>
      <c r="C360" s="28">
        <v>13.229333799999999</v>
      </c>
      <c r="D360" s="28">
        <v>6.07053478</v>
      </c>
      <c r="E360" s="28">
        <v>30.000690899999999</v>
      </c>
      <c r="F360" s="28">
        <v>21.4804271</v>
      </c>
      <c r="G360" s="28">
        <v>17.930796399999998</v>
      </c>
      <c r="H360" s="28">
        <v>49.495398299999998</v>
      </c>
      <c r="I360" s="28">
        <v>36.331986899999997</v>
      </c>
      <c r="J360" s="28">
        <v>973.82323599999995</v>
      </c>
      <c r="K360" s="28">
        <v>913.98522600000001</v>
      </c>
      <c r="L360" s="28">
        <v>5.0025856299999996</v>
      </c>
      <c r="M360" s="28">
        <v>106.27518600000001</v>
      </c>
      <c r="N360" s="28">
        <v>50.228783499999999</v>
      </c>
      <c r="O360" s="28">
        <v>1001.30714</v>
      </c>
      <c r="P360" s="28">
        <v>998.692858</v>
      </c>
    </row>
    <row r="361" spans="1:16" x14ac:dyDescent="0.25">
      <c r="A361" s="40">
        <v>1</v>
      </c>
      <c r="B361" s="40">
        <v>107</v>
      </c>
      <c r="C361" s="28">
        <v>13.283010900000001</v>
      </c>
      <c r="D361" s="28">
        <v>6.0941721099999997</v>
      </c>
      <c r="E361" s="28">
        <v>29.899393</v>
      </c>
      <c r="F361" s="28">
        <v>21.405303199999999</v>
      </c>
      <c r="G361" s="28">
        <v>17.826045400000002</v>
      </c>
      <c r="H361" s="28">
        <v>48.9222441</v>
      </c>
      <c r="I361" s="28">
        <v>35.841528099999998</v>
      </c>
      <c r="J361" s="28">
        <v>976.47651299999995</v>
      </c>
      <c r="K361" s="28">
        <v>914.39995599999997</v>
      </c>
      <c r="L361" s="28">
        <v>5.0307720600000003</v>
      </c>
      <c r="M361" s="28">
        <v>105.85093000000001</v>
      </c>
      <c r="N361" s="28">
        <v>50.508695199999998</v>
      </c>
      <c r="O361" s="28">
        <v>1006.94888</v>
      </c>
      <c r="P361" s="28">
        <v>993.05111999999997</v>
      </c>
    </row>
    <row r="362" spans="1:16" x14ac:dyDescent="0.25">
      <c r="A362" s="40">
        <v>1</v>
      </c>
      <c r="B362" s="40">
        <v>108</v>
      </c>
      <c r="C362" s="28">
        <v>13.3202348</v>
      </c>
      <c r="D362" s="28">
        <v>6.1159597000000003</v>
      </c>
      <c r="E362" s="28">
        <v>30.095354</v>
      </c>
      <c r="F362" s="28">
        <v>21.3761811</v>
      </c>
      <c r="G362" s="28">
        <v>18.058661900000001</v>
      </c>
      <c r="H362" s="28">
        <v>48.974091999999999</v>
      </c>
      <c r="I362" s="28">
        <v>35.422883300000002</v>
      </c>
      <c r="J362" s="28">
        <v>972.99574700000005</v>
      </c>
      <c r="K362" s="28">
        <v>914.50739399999998</v>
      </c>
      <c r="L362" s="28">
        <v>5.04624966</v>
      </c>
      <c r="M362" s="28">
        <v>105.945818</v>
      </c>
      <c r="N362" s="28">
        <v>50.658439600000001</v>
      </c>
      <c r="O362" s="28">
        <v>1010.04684</v>
      </c>
      <c r="P362" s="28">
        <v>989.95315600000004</v>
      </c>
    </row>
    <row r="363" spans="1:16" x14ac:dyDescent="0.25">
      <c r="A363" s="40">
        <v>1</v>
      </c>
      <c r="B363" s="40">
        <v>109</v>
      </c>
      <c r="C363" s="28">
        <v>13.2966753</v>
      </c>
      <c r="D363" s="28">
        <v>6.1189270200000001</v>
      </c>
      <c r="E363" s="28">
        <v>30.1606077</v>
      </c>
      <c r="F363" s="28">
        <v>21.471673899999999</v>
      </c>
      <c r="G363" s="28">
        <v>18.1652445</v>
      </c>
      <c r="H363" s="28">
        <v>48.6527703</v>
      </c>
      <c r="I363" s="28">
        <v>35.433410100000003</v>
      </c>
      <c r="J363" s="28">
        <v>974.65502700000002</v>
      </c>
      <c r="K363" s="28">
        <v>917.13894900000003</v>
      </c>
      <c r="L363" s="28">
        <v>5.0525944100000002</v>
      </c>
      <c r="M363" s="28">
        <v>105.886601</v>
      </c>
      <c r="N363" s="28">
        <v>50.715119299999998</v>
      </c>
      <c r="O363" s="28">
        <v>1011.3167999999999</v>
      </c>
      <c r="P363" s="28">
        <v>988.68320500000004</v>
      </c>
    </row>
    <row r="364" spans="1:16" x14ac:dyDescent="0.25">
      <c r="A364" s="40">
        <v>1</v>
      </c>
      <c r="B364" s="40">
        <v>110</v>
      </c>
      <c r="C364" s="28">
        <v>13.1545366</v>
      </c>
      <c r="D364" s="28">
        <v>6.1758909400000004</v>
      </c>
      <c r="E364" s="28">
        <v>30.353753000000001</v>
      </c>
      <c r="F364" s="28">
        <v>21.7246278</v>
      </c>
      <c r="G364" s="28">
        <v>18.107064600000001</v>
      </c>
      <c r="H364" s="28">
        <v>48.858037699999997</v>
      </c>
      <c r="I364" s="28">
        <v>35.176794399999999</v>
      </c>
      <c r="J364" s="28">
        <v>972.35571100000004</v>
      </c>
      <c r="K364" s="28">
        <v>917.81750299999999</v>
      </c>
      <c r="L364" s="28">
        <v>5.06609044</v>
      </c>
      <c r="M364" s="28">
        <v>105.61394799999999</v>
      </c>
      <c r="N364" s="28">
        <v>51.067390799999998</v>
      </c>
      <c r="O364" s="28">
        <v>1014.01813</v>
      </c>
      <c r="P364" s="28">
        <v>985.98186799999996</v>
      </c>
    </row>
    <row r="365" spans="1:16" x14ac:dyDescent="0.25">
      <c r="A365" s="40">
        <v>1</v>
      </c>
      <c r="B365" s="40">
        <v>111</v>
      </c>
      <c r="C365" s="28">
        <v>13.1261288</v>
      </c>
      <c r="D365" s="28">
        <v>6.2424641999999997</v>
      </c>
      <c r="E365" s="28">
        <v>30.687245799999999</v>
      </c>
      <c r="F365" s="28">
        <v>21.956152899999999</v>
      </c>
      <c r="G365" s="28">
        <v>18.171479999999999</v>
      </c>
      <c r="H365" s="28">
        <v>48.840685899999997</v>
      </c>
      <c r="I365" s="28">
        <v>35.248497800000003</v>
      </c>
      <c r="J365" s="28">
        <v>973.74866999999995</v>
      </c>
      <c r="K365" s="28">
        <v>924.39620300000001</v>
      </c>
      <c r="L365" s="28">
        <v>5.0855657799999996</v>
      </c>
      <c r="M365" s="28">
        <v>105.82543099999999</v>
      </c>
      <c r="N365" s="28">
        <v>51.122763300000003</v>
      </c>
      <c r="O365" s="28">
        <v>1017.91628</v>
      </c>
      <c r="P365" s="28">
        <v>982.08372399999996</v>
      </c>
    </row>
    <row r="366" spans="1:16" x14ac:dyDescent="0.25">
      <c r="A366" s="40">
        <v>1</v>
      </c>
      <c r="B366" s="40">
        <v>112</v>
      </c>
      <c r="C366" s="28">
        <v>13.176542899999999</v>
      </c>
      <c r="D366" s="28">
        <v>6.2263055700000001</v>
      </c>
      <c r="E366" s="28">
        <v>30.711513400000001</v>
      </c>
      <c r="F366" s="28">
        <v>21.8695463</v>
      </c>
      <c r="G366" s="28">
        <v>17.958164700000001</v>
      </c>
      <c r="H366" s="28">
        <v>48.9440855</v>
      </c>
      <c r="I366" s="28">
        <v>34.910065600000003</v>
      </c>
      <c r="J366" s="28">
        <v>972.98299299999996</v>
      </c>
      <c r="K366" s="28">
        <v>923.42683199999999</v>
      </c>
      <c r="L366" s="28">
        <v>5.0522077699999999</v>
      </c>
      <c r="M366" s="28">
        <v>105.770983</v>
      </c>
      <c r="N366" s="28">
        <v>51.174151000000002</v>
      </c>
      <c r="O366" s="28">
        <v>1011.23941</v>
      </c>
      <c r="P366" s="28">
        <v>988.76059299999997</v>
      </c>
    </row>
    <row r="367" spans="1:16" x14ac:dyDescent="0.25">
      <c r="A367" s="40">
        <v>1</v>
      </c>
      <c r="B367" s="40">
        <v>113</v>
      </c>
      <c r="C367" s="28">
        <v>13.1305137</v>
      </c>
      <c r="D367" s="28">
        <v>6.2469561599999999</v>
      </c>
      <c r="E367" s="28">
        <v>30.9490087</v>
      </c>
      <c r="F367" s="28">
        <v>22.030301999999999</v>
      </c>
      <c r="G367" s="28">
        <v>18.1585559</v>
      </c>
      <c r="H367" s="28">
        <v>49.7069677</v>
      </c>
      <c r="I367" s="28">
        <v>35.744130499999997</v>
      </c>
      <c r="J367" s="28">
        <v>974.36099000000002</v>
      </c>
      <c r="K367" s="28">
        <v>929.38151000000005</v>
      </c>
      <c r="L367" s="28">
        <v>5.01097255</v>
      </c>
      <c r="M367" s="28">
        <v>106.96961</v>
      </c>
      <c r="N367" s="28">
        <v>51.385195899999999</v>
      </c>
      <c r="O367" s="28">
        <v>1002.98585</v>
      </c>
      <c r="P367" s="28">
        <v>997.01414999999997</v>
      </c>
    </row>
    <row r="368" spans="1:16" x14ac:dyDescent="0.25">
      <c r="A368" s="40">
        <v>1</v>
      </c>
      <c r="B368" s="40">
        <v>114</v>
      </c>
      <c r="C368" s="28">
        <v>13.0621983</v>
      </c>
      <c r="D368" s="28">
        <v>6.2974570300000003</v>
      </c>
      <c r="E368" s="28">
        <v>30.879232999999999</v>
      </c>
      <c r="F368" s="28">
        <v>22.1518047</v>
      </c>
      <c r="G368" s="28">
        <v>18.2402251</v>
      </c>
      <c r="H368" s="28">
        <v>49.559178000000003</v>
      </c>
      <c r="I368" s="28">
        <v>35.925535600000003</v>
      </c>
      <c r="J368" s="28">
        <v>971.90316800000005</v>
      </c>
      <c r="K368" s="28">
        <v>934.56371899999999</v>
      </c>
      <c r="L368" s="28">
        <v>5.0211626899999997</v>
      </c>
      <c r="M368" s="28">
        <v>107.243358</v>
      </c>
      <c r="N368" s="28">
        <v>51.894972600000003</v>
      </c>
      <c r="O368" s="28">
        <v>1005.02549</v>
      </c>
      <c r="P368" s="28">
        <v>994.974513</v>
      </c>
    </row>
    <row r="369" spans="1:16" x14ac:dyDescent="0.25">
      <c r="A369" s="40">
        <v>1</v>
      </c>
      <c r="B369" s="40">
        <v>115</v>
      </c>
      <c r="C369" s="28">
        <v>12.931392900000001</v>
      </c>
      <c r="D369" s="28">
        <v>6.2356479800000004</v>
      </c>
      <c r="E369" s="28">
        <v>30.697334000000001</v>
      </c>
      <c r="F369" s="28">
        <v>22.142583399999999</v>
      </c>
      <c r="G369" s="28">
        <v>18.293535899999998</v>
      </c>
      <c r="H369" s="28">
        <v>49.821602499999997</v>
      </c>
      <c r="I369" s="28">
        <v>36.549057900000001</v>
      </c>
      <c r="J369" s="28">
        <v>974.16379700000005</v>
      </c>
      <c r="K369" s="28">
        <v>932.95792400000005</v>
      </c>
      <c r="L369" s="28">
        <v>5.0253548200000004</v>
      </c>
      <c r="M369" s="28">
        <v>107.164654</v>
      </c>
      <c r="N369" s="28">
        <v>51.633472699999999</v>
      </c>
      <c r="O369" s="28">
        <v>1005.86458</v>
      </c>
      <c r="P369" s="28">
        <v>994.13542399999994</v>
      </c>
    </row>
    <row r="370" spans="1:16" x14ac:dyDescent="0.25">
      <c r="A370" s="40">
        <v>1</v>
      </c>
      <c r="B370" s="40">
        <v>116</v>
      </c>
      <c r="C370" s="28">
        <v>12.9386469</v>
      </c>
      <c r="D370" s="28">
        <v>6.2384992500000003</v>
      </c>
      <c r="E370" s="28">
        <v>30.358246699999999</v>
      </c>
      <c r="F370" s="28">
        <v>22.0012455</v>
      </c>
      <c r="G370" s="28">
        <v>18.302116900000001</v>
      </c>
      <c r="H370" s="28">
        <v>50.3445301</v>
      </c>
      <c r="I370" s="28">
        <v>36.683307499999998</v>
      </c>
      <c r="J370" s="28">
        <v>972.84340899999995</v>
      </c>
      <c r="K370" s="28">
        <v>936.48611000000005</v>
      </c>
      <c r="L370" s="28">
        <v>5.0574114400000001</v>
      </c>
      <c r="M370" s="28">
        <v>107.477774</v>
      </c>
      <c r="N370" s="28">
        <v>52.002352299999998</v>
      </c>
      <c r="O370" s="28">
        <v>1012.2809600000001</v>
      </c>
      <c r="P370" s="28">
        <v>987.71903899999995</v>
      </c>
    </row>
    <row r="371" spans="1:16" x14ac:dyDescent="0.25">
      <c r="A371" s="40">
        <v>1</v>
      </c>
      <c r="B371" s="40">
        <v>117</v>
      </c>
      <c r="C371" s="28">
        <v>13.006231100000001</v>
      </c>
      <c r="D371" s="28">
        <v>6.2446274800000001</v>
      </c>
      <c r="E371" s="28">
        <v>30.498810800000001</v>
      </c>
      <c r="F371" s="28">
        <v>21.975247199999998</v>
      </c>
      <c r="G371" s="28">
        <v>18.335924599999998</v>
      </c>
      <c r="H371" s="28">
        <v>50.208868500000001</v>
      </c>
      <c r="I371" s="28">
        <v>36.582481100000003</v>
      </c>
      <c r="J371" s="28">
        <v>974.79208600000004</v>
      </c>
      <c r="K371" s="28">
        <v>941.77402600000005</v>
      </c>
      <c r="L371" s="28">
        <v>5.0245141000000002</v>
      </c>
      <c r="M371" s="28">
        <v>107.62293699999999</v>
      </c>
      <c r="N371" s="28">
        <v>52.197405600000003</v>
      </c>
      <c r="O371" s="28">
        <v>1005.6963</v>
      </c>
      <c r="P371" s="28">
        <v>994.30370100000005</v>
      </c>
    </row>
    <row r="372" spans="1:16" x14ac:dyDescent="0.25">
      <c r="A372" s="40">
        <v>1</v>
      </c>
      <c r="B372" s="40">
        <v>118</v>
      </c>
      <c r="C372" s="28">
        <v>13.1638131</v>
      </c>
      <c r="D372" s="28">
        <v>6.2705791599999996</v>
      </c>
      <c r="E372" s="28">
        <v>30.6987761</v>
      </c>
      <c r="F372" s="28">
        <v>22.200365000000001</v>
      </c>
      <c r="G372" s="28">
        <v>18.343342700000001</v>
      </c>
      <c r="H372" s="28">
        <v>50.375059399999998</v>
      </c>
      <c r="I372" s="28">
        <v>36.448449400000001</v>
      </c>
      <c r="J372" s="28">
        <v>973.51019299999996</v>
      </c>
      <c r="K372" s="28">
        <v>936.09740299999999</v>
      </c>
      <c r="L372" s="28">
        <v>5.0470136800000001</v>
      </c>
      <c r="M372" s="28">
        <v>108.27555700000001</v>
      </c>
      <c r="N372" s="28">
        <v>51.575856600000002</v>
      </c>
      <c r="O372" s="28">
        <v>1010.1997699999999</v>
      </c>
      <c r="P372" s="28">
        <v>989.80023200000005</v>
      </c>
    </row>
    <row r="373" spans="1:16" x14ac:dyDescent="0.25">
      <c r="A373" s="40">
        <v>1</v>
      </c>
      <c r="B373" s="40">
        <v>119</v>
      </c>
      <c r="C373" s="28">
        <v>13.059752700000001</v>
      </c>
      <c r="D373" s="28">
        <v>6.2886481099999996</v>
      </c>
      <c r="E373" s="28">
        <v>30.8157067</v>
      </c>
      <c r="F373" s="28">
        <v>22.573805</v>
      </c>
      <c r="G373" s="28">
        <v>18.4006787</v>
      </c>
      <c r="H373" s="28">
        <v>50.352021700000002</v>
      </c>
      <c r="I373" s="28">
        <v>36.709829999999997</v>
      </c>
      <c r="J373" s="28">
        <v>975.35274200000003</v>
      </c>
      <c r="K373" s="28">
        <v>937.54350099999999</v>
      </c>
      <c r="L373" s="28">
        <v>5.02037113</v>
      </c>
      <c r="M373" s="28">
        <v>108.591825</v>
      </c>
      <c r="N373" s="28">
        <v>51.807862999999998</v>
      </c>
      <c r="O373" s="28">
        <v>1004.8670499999999</v>
      </c>
      <c r="P373" s="28">
        <v>995.13294900000005</v>
      </c>
    </row>
    <row r="374" spans="1:16" x14ac:dyDescent="0.25">
      <c r="A374" s="40">
        <v>1</v>
      </c>
      <c r="B374" s="40">
        <v>120</v>
      </c>
      <c r="C374" s="28">
        <v>13.1195161</v>
      </c>
      <c r="D374" s="28">
        <v>6.2995776000000001</v>
      </c>
      <c r="E374" s="28">
        <v>30.708101800000001</v>
      </c>
      <c r="F374" s="28">
        <v>22.671803000000001</v>
      </c>
      <c r="G374" s="28">
        <v>18.4166113</v>
      </c>
      <c r="H374" s="28">
        <v>50.641655200000002</v>
      </c>
      <c r="I374" s="28">
        <v>36.862335199999997</v>
      </c>
      <c r="J374" s="28">
        <v>974.12341900000001</v>
      </c>
      <c r="K374" s="28">
        <v>939.12617</v>
      </c>
      <c r="L374" s="28">
        <v>5.05396891</v>
      </c>
      <c r="M374" s="28">
        <v>108.75519</v>
      </c>
      <c r="N374" s="28">
        <v>52.671901900000002</v>
      </c>
      <c r="O374" s="28">
        <v>1011.59191</v>
      </c>
      <c r="P374" s="28">
        <v>988.40808800000002</v>
      </c>
    </row>
    <row r="375" spans="1:16" x14ac:dyDescent="0.25">
      <c r="A375" s="40">
        <v>1</v>
      </c>
      <c r="B375" s="40">
        <v>121</v>
      </c>
      <c r="C375" s="28">
        <v>13.20312</v>
      </c>
      <c r="D375" s="28">
        <v>6.2529274900000003</v>
      </c>
      <c r="E375" s="28">
        <v>30.520343</v>
      </c>
      <c r="F375" s="28">
        <v>22.4860997</v>
      </c>
      <c r="G375" s="28">
        <v>18.227018000000001</v>
      </c>
      <c r="H375" s="28">
        <v>50.4420371</v>
      </c>
      <c r="I375" s="28">
        <v>36.931701099999998</v>
      </c>
      <c r="J375" s="28">
        <v>977.59631300000001</v>
      </c>
      <c r="K375" s="28">
        <v>942.90918799999997</v>
      </c>
      <c r="L375" s="28">
        <v>5.0727064999999998</v>
      </c>
      <c r="M375" s="28">
        <v>108.61921</v>
      </c>
      <c r="N375" s="28">
        <v>52.477670099999997</v>
      </c>
      <c r="O375" s="28">
        <v>1015.34239</v>
      </c>
      <c r="P375" s="28">
        <v>984.65761099999997</v>
      </c>
    </row>
    <row r="376" spans="1:16" x14ac:dyDescent="0.25">
      <c r="A376" s="40">
        <v>1</v>
      </c>
      <c r="B376" s="40">
        <v>122</v>
      </c>
      <c r="C376" s="28">
        <v>13.109167100000001</v>
      </c>
      <c r="D376" s="28">
        <v>6.2667778500000004</v>
      </c>
      <c r="E376" s="28">
        <v>30.451329300000001</v>
      </c>
      <c r="F376" s="28">
        <v>22.506826199999999</v>
      </c>
      <c r="G376" s="28">
        <v>18.231149200000001</v>
      </c>
      <c r="H376" s="28">
        <v>50.627471700000001</v>
      </c>
      <c r="I376" s="28">
        <v>36.1375818</v>
      </c>
      <c r="J376" s="28">
        <v>975.616986</v>
      </c>
      <c r="K376" s="28">
        <v>946.21648400000004</v>
      </c>
      <c r="L376" s="28">
        <v>5.0217798</v>
      </c>
      <c r="M376" s="28">
        <v>108.121903</v>
      </c>
      <c r="N376" s="28">
        <v>52.811370500000002</v>
      </c>
      <c r="O376" s="28">
        <v>1005.14901</v>
      </c>
      <c r="P376" s="28">
        <v>994.85099300000002</v>
      </c>
    </row>
    <row r="377" spans="1:16" x14ac:dyDescent="0.25">
      <c r="A377" s="40">
        <v>1</v>
      </c>
      <c r="B377" s="40">
        <v>123</v>
      </c>
      <c r="C377" s="28">
        <v>13.1518605</v>
      </c>
      <c r="D377" s="28">
        <v>6.2849383999999997</v>
      </c>
      <c r="E377" s="28">
        <v>30.476244900000001</v>
      </c>
      <c r="F377" s="28">
        <v>22.6932084</v>
      </c>
      <c r="G377" s="28">
        <v>18.282247900000002</v>
      </c>
      <c r="H377" s="28">
        <v>51.384596700000003</v>
      </c>
      <c r="I377" s="28">
        <v>36.3906013</v>
      </c>
      <c r="J377" s="28">
        <v>978.09968500000002</v>
      </c>
      <c r="K377" s="28">
        <v>954.54157899999996</v>
      </c>
      <c r="L377" s="28">
        <v>5.01549595</v>
      </c>
      <c r="M377" s="28">
        <v>108.67970699999999</v>
      </c>
      <c r="N377" s="28">
        <v>52.719356699999999</v>
      </c>
      <c r="O377" s="28">
        <v>1003.89124</v>
      </c>
      <c r="P377" s="28">
        <v>996.10875599999997</v>
      </c>
    </row>
    <row r="378" spans="1:16" x14ac:dyDescent="0.25">
      <c r="A378" s="40">
        <v>1</v>
      </c>
      <c r="B378" s="40">
        <v>124</v>
      </c>
      <c r="C378" s="28">
        <v>13.167582599999999</v>
      </c>
      <c r="D378" s="28">
        <v>6.2553262600000004</v>
      </c>
      <c r="E378" s="28">
        <v>30.787473200000001</v>
      </c>
      <c r="F378" s="28">
        <v>22.942098399999999</v>
      </c>
      <c r="G378" s="28">
        <v>18.248841200000001</v>
      </c>
      <c r="H378" s="28">
        <v>51.347397800000003</v>
      </c>
      <c r="I378" s="28">
        <v>36.310154400000002</v>
      </c>
      <c r="J378" s="28">
        <v>976.63855599999999</v>
      </c>
      <c r="K378" s="28">
        <v>958.80644400000006</v>
      </c>
      <c r="L378" s="28">
        <v>4.9992334100000004</v>
      </c>
      <c r="M378" s="28">
        <v>109.03581800000001</v>
      </c>
      <c r="N378" s="28">
        <v>53.216040300000003</v>
      </c>
      <c r="O378" s="28">
        <v>1000.63617</v>
      </c>
      <c r="P378" s="28">
        <v>999.363832</v>
      </c>
    </row>
    <row r="379" spans="1:16" x14ac:dyDescent="0.25">
      <c r="A379" s="40">
        <v>1</v>
      </c>
      <c r="B379" s="40">
        <v>125</v>
      </c>
      <c r="C379" s="28">
        <v>13.2315852</v>
      </c>
      <c r="D379" s="28">
        <v>6.2559097899999996</v>
      </c>
      <c r="E379" s="28">
        <v>30.7799567</v>
      </c>
      <c r="F379" s="28">
        <v>23.0194428</v>
      </c>
      <c r="G379" s="28">
        <v>18.444679199999999</v>
      </c>
      <c r="H379" s="28">
        <v>51.045337400000001</v>
      </c>
      <c r="I379" s="28">
        <v>36.530531000000003</v>
      </c>
      <c r="J379" s="28">
        <v>978.05251799999996</v>
      </c>
      <c r="K379" s="28">
        <v>959.28368799999998</v>
      </c>
      <c r="L379" s="28">
        <v>5.01716549</v>
      </c>
      <c r="M379" s="28">
        <v>109.412458</v>
      </c>
      <c r="N379" s="28">
        <v>52.958965800000001</v>
      </c>
      <c r="O379" s="28">
        <v>1004.22542</v>
      </c>
      <c r="P379" s="28">
        <v>995.77458300000001</v>
      </c>
    </row>
    <row r="380" spans="1:16" x14ac:dyDescent="0.25">
      <c r="A380" s="40">
        <v>1</v>
      </c>
      <c r="B380" s="40">
        <v>126</v>
      </c>
      <c r="C380" s="28">
        <v>13.189167299999999</v>
      </c>
      <c r="D380" s="28">
        <v>6.2470758699999998</v>
      </c>
      <c r="E380" s="28">
        <v>30.602153699999999</v>
      </c>
      <c r="F380" s="28">
        <v>22.861124</v>
      </c>
      <c r="G380" s="28">
        <v>18.3937232</v>
      </c>
      <c r="H380" s="28">
        <v>50.789936500000003</v>
      </c>
      <c r="I380" s="28">
        <v>36.844305400000003</v>
      </c>
      <c r="J380" s="28">
        <v>976.54948000000002</v>
      </c>
      <c r="K380" s="28">
        <v>954.34100799999999</v>
      </c>
      <c r="L380" s="28">
        <v>5.04709656</v>
      </c>
      <c r="M380" s="28">
        <v>109.432897</v>
      </c>
      <c r="N380" s="28">
        <v>52.794442400000001</v>
      </c>
      <c r="O380" s="28">
        <v>1010.21636</v>
      </c>
      <c r="P380" s="28">
        <v>989.78364299999998</v>
      </c>
    </row>
    <row r="381" spans="1:16" x14ac:dyDescent="0.25">
      <c r="A381" s="40">
        <v>1</v>
      </c>
      <c r="B381" s="40">
        <v>127</v>
      </c>
      <c r="C381" s="28">
        <v>13.1891011</v>
      </c>
      <c r="D381" s="28">
        <v>6.2637265099999997</v>
      </c>
      <c r="E381" s="28">
        <v>30.442369899999999</v>
      </c>
      <c r="F381" s="28">
        <v>22.9073785</v>
      </c>
      <c r="G381" s="28">
        <v>18.419777199999999</v>
      </c>
      <c r="H381" s="28">
        <v>50.610795299999999</v>
      </c>
      <c r="I381" s="28">
        <v>36.289447500000001</v>
      </c>
      <c r="J381" s="28">
        <v>978.59303599999998</v>
      </c>
      <c r="K381" s="28">
        <v>958.11333300000001</v>
      </c>
      <c r="L381" s="28">
        <v>4.9973697799999997</v>
      </c>
      <c r="M381" s="28">
        <v>109.185778</v>
      </c>
      <c r="N381" s="28">
        <v>52.1294702</v>
      </c>
      <c r="O381" s="28">
        <v>1000.26315</v>
      </c>
      <c r="P381" s="28">
        <v>999.736852</v>
      </c>
    </row>
    <row r="382" spans="1:16" x14ac:dyDescent="0.25">
      <c r="A382" s="40">
        <v>1</v>
      </c>
      <c r="B382" s="40">
        <v>128</v>
      </c>
      <c r="C382" s="28">
        <v>13.2509321</v>
      </c>
      <c r="D382" s="28">
        <v>6.3145934300000004</v>
      </c>
      <c r="E382" s="28">
        <v>30.622691400000001</v>
      </c>
      <c r="F382" s="28">
        <v>23.233544800000001</v>
      </c>
      <c r="G382" s="28">
        <v>18.357125400000001</v>
      </c>
      <c r="H382" s="28">
        <v>51.150231099999999</v>
      </c>
      <c r="I382" s="28">
        <v>36.879943400000002</v>
      </c>
      <c r="J382" s="28">
        <v>977.69470000000001</v>
      </c>
      <c r="K382" s="28">
        <v>956.78981199999998</v>
      </c>
      <c r="L382" s="28">
        <v>5.0577411799999998</v>
      </c>
      <c r="M382" s="28">
        <v>109.851467</v>
      </c>
      <c r="N382" s="28">
        <v>52.670191000000003</v>
      </c>
      <c r="O382" s="28">
        <v>1012.34696</v>
      </c>
      <c r="P382" s="28">
        <v>987.65303700000004</v>
      </c>
    </row>
    <row r="383" spans="1:16" x14ac:dyDescent="0.25">
      <c r="A383" s="40">
        <v>1</v>
      </c>
      <c r="B383" s="40">
        <v>129</v>
      </c>
      <c r="C383" s="28">
        <v>13.248688100000001</v>
      </c>
      <c r="D383" s="28">
        <v>6.3191313600000001</v>
      </c>
      <c r="E383" s="28">
        <v>30.7534098</v>
      </c>
      <c r="F383" s="28">
        <v>23.2979223</v>
      </c>
      <c r="G383" s="28">
        <v>18.361150200000001</v>
      </c>
      <c r="H383" s="28">
        <v>50.878943300000003</v>
      </c>
      <c r="I383" s="28">
        <v>37.390108499999997</v>
      </c>
      <c r="J383" s="28">
        <v>979.53151500000001</v>
      </c>
      <c r="K383" s="28">
        <v>956.19004900000004</v>
      </c>
      <c r="L383" s="28">
        <v>5.0555399300000001</v>
      </c>
      <c r="M383" s="28">
        <v>110.000235</v>
      </c>
      <c r="N383" s="28">
        <v>53.024410400000001</v>
      </c>
      <c r="O383" s="28">
        <v>1011.9063599999999</v>
      </c>
      <c r="P383" s="28">
        <v>988.09363599999995</v>
      </c>
    </row>
    <row r="384" spans="1:16" x14ac:dyDescent="0.25">
      <c r="A384" s="40">
        <v>1</v>
      </c>
      <c r="B384" s="40">
        <v>130</v>
      </c>
      <c r="C384" s="28">
        <v>13.3265672</v>
      </c>
      <c r="D384" s="28">
        <v>6.34686489</v>
      </c>
      <c r="E384" s="28">
        <v>30.615009400000002</v>
      </c>
      <c r="F384" s="28">
        <v>23.349917399999999</v>
      </c>
      <c r="G384" s="28">
        <v>18.525804999999998</v>
      </c>
      <c r="H384" s="28">
        <v>51.101163900000003</v>
      </c>
      <c r="I384" s="28">
        <v>38.032681799999999</v>
      </c>
      <c r="J384" s="28">
        <v>977.76014499999997</v>
      </c>
      <c r="K384" s="28">
        <v>953.64091299999995</v>
      </c>
      <c r="L384" s="28">
        <v>5.0310369100000001</v>
      </c>
      <c r="M384" s="28">
        <v>110.302451</v>
      </c>
      <c r="N384" s="28">
        <v>52.454891500000002</v>
      </c>
      <c r="O384" s="28">
        <v>1007.00189</v>
      </c>
      <c r="P384" s="28">
        <v>992.998108</v>
      </c>
    </row>
    <row r="385" spans="1:16" x14ac:dyDescent="0.25">
      <c r="A385" s="40">
        <v>1</v>
      </c>
      <c r="B385" s="40">
        <v>131</v>
      </c>
      <c r="C385" s="28">
        <v>13.3627441</v>
      </c>
      <c r="D385" s="28">
        <v>6.4337885799999999</v>
      </c>
      <c r="E385" s="28">
        <v>30.261410999999999</v>
      </c>
      <c r="F385" s="28">
        <v>23.252174499999999</v>
      </c>
      <c r="G385" s="28">
        <v>18.5575838</v>
      </c>
      <c r="H385" s="28">
        <v>51.2055401</v>
      </c>
      <c r="I385" s="28">
        <v>38.270275400000003</v>
      </c>
      <c r="J385" s="28">
        <v>979.77871900000002</v>
      </c>
      <c r="K385" s="28">
        <v>957.90543000000002</v>
      </c>
      <c r="L385" s="28">
        <v>4.9620339800000002</v>
      </c>
      <c r="M385" s="28">
        <v>110.651662</v>
      </c>
      <c r="N385" s="28">
        <v>51.981917000000003</v>
      </c>
      <c r="O385" s="28">
        <v>993.19040800000005</v>
      </c>
      <c r="P385" s="28">
        <v>1006.80959</v>
      </c>
    </row>
    <row r="386" spans="1:16" x14ac:dyDescent="0.25">
      <c r="A386" s="40">
        <v>1</v>
      </c>
      <c r="B386" s="40">
        <v>132</v>
      </c>
      <c r="C386" s="28">
        <v>13.4725129</v>
      </c>
      <c r="D386" s="28">
        <v>6.3948926200000002</v>
      </c>
      <c r="E386" s="28">
        <v>30.291049099999999</v>
      </c>
      <c r="F386" s="28">
        <v>23.153337700000002</v>
      </c>
      <c r="G386" s="28">
        <v>18.374826500000001</v>
      </c>
      <c r="H386" s="28">
        <v>51.051731699999998</v>
      </c>
      <c r="I386" s="28">
        <v>37.638590600000001</v>
      </c>
      <c r="J386" s="28">
        <v>979.37910499999998</v>
      </c>
      <c r="K386" s="28">
        <v>956.81607499999996</v>
      </c>
      <c r="L386" s="28">
        <v>4.9482912099999998</v>
      </c>
      <c r="M386" s="28">
        <v>110.333845</v>
      </c>
      <c r="N386" s="28">
        <v>51.769788900000002</v>
      </c>
      <c r="O386" s="28">
        <v>990.43968400000006</v>
      </c>
      <c r="P386" s="28">
        <v>1009.56032</v>
      </c>
    </row>
    <row r="387" spans="1:16" x14ac:dyDescent="0.25">
      <c r="A387" s="40">
        <v>1</v>
      </c>
      <c r="B387" s="40">
        <v>133</v>
      </c>
      <c r="C387" s="28">
        <v>13.6698311</v>
      </c>
      <c r="D387" s="28">
        <v>6.4056045399999997</v>
      </c>
      <c r="E387" s="28">
        <v>30.381820999999999</v>
      </c>
      <c r="F387" s="28">
        <v>22.928582299999999</v>
      </c>
      <c r="G387" s="28">
        <v>18.3791726</v>
      </c>
      <c r="H387" s="28">
        <v>50.688368699999998</v>
      </c>
      <c r="I387" s="28">
        <v>37.680985200000002</v>
      </c>
      <c r="J387" s="28">
        <v>981.35906</v>
      </c>
      <c r="K387" s="28">
        <v>960.79945699999996</v>
      </c>
      <c r="L387" s="28">
        <v>4.9630135600000003</v>
      </c>
      <c r="M387" s="28">
        <v>110.305469</v>
      </c>
      <c r="N387" s="28">
        <v>51.336151200000003</v>
      </c>
      <c r="O387" s="28">
        <v>993.38647800000001</v>
      </c>
      <c r="P387" s="28">
        <v>1006.61352</v>
      </c>
    </row>
    <row r="388" spans="1:16" x14ac:dyDescent="0.25">
      <c r="A388" s="40">
        <v>1</v>
      </c>
      <c r="B388" s="40">
        <v>134</v>
      </c>
      <c r="C388" s="28">
        <v>13.467605799999999</v>
      </c>
      <c r="D388" s="28">
        <v>6.3830447499999998</v>
      </c>
      <c r="E388" s="28">
        <v>30.366587500000001</v>
      </c>
      <c r="F388" s="28">
        <v>22.649591000000001</v>
      </c>
      <c r="G388" s="28">
        <v>18.172609099999999</v>
      </c>
      <c r="H388" s="28">
        <v>50.437461999999996</v>
      </c>
      <c r="I388" s="28">
        <v>37.171352200000001</v>
      </c>
      <c r="J388" s="28">
        <v>979.78108199999997</v>
      </c>
      <c r="K388" s="28">
        <v>964.19723799999997</v>
      </c>
      <c r="L388" s="28">
        <v>4.9379769800000002</v>
      </c>
      <c r="M388" s="28">
        <v>109.253114</v>
      </c>
      <c r="N388" s="28">
        <v>50.910499299999998</v>
      </c>
      <c r="O388" s="28">
        <v>988.37520900000004</v>
      </c>
      <c r="P388" s="28">
        <v>1011.62479</v>
      </c>
    </row>
    <row r="389" spans="1:16" x14ac:dyDescent="0.25">
      <c r="A389" s="40">
        <v>1</v>
      </c>
      <c r="B389" s="40">
        <v>135</v>
      </c>
      <c r="C389" s="28">
        <v>13.3847533</v>
      </c>
      <c r="D389" s="28">
        <v>6.3823941</v>
      </c>
      <c r="E389" s="28">
        <v>30.0538585</v>
      </c>
      <c r="F389" s="28">
        <v>22.534813700000001</v>
      </c>
      <c r="G389" s="28">
        <v>18.003870200000001</v>
      </c>
      <c r="H389" s="28">
        <v>50.413318599999997</v>
      </c>
      <c r="I389" s="28">
        <v>37.293973100000002</v>
      </c>
      <c r="J389" s="28">
        <v>982.53520400000002</v>
      </c>
      <c r="K389" s="28">
        <v>958.37903600000004</v>
      </c>
      <c r="L389" s="28">
        <v>4.9908928799999996</v>
      </c>
      <c r="M389" s="28">
        <v>108.920422</v>
      </c>
      <c r="N389" s="28">
        <v>50.615248999999999</v>
      </c>
      <c r="O389" s="28">
        <v>998.96674599999994</v>
      </c>
      <c r="P389" s="28">
        <v>1001.03325</v>
      </c>
    </row>
    <row r="390" spans="1:16" x14ac:dyDescent="0.25">
      <c r="A390" s="40">
        <v>1</v>
      </c>
      <c r="B390" s="40">
        <v>136</v>
      </c>
      <c r="C390" s="28">
        <v>13.382264299999999</v>
      </c>
      <c r="D390" s="28">
        <v>6.4240966300000002</v>
      </c>
      <c r="E390" s="28">
        <v>30.271940099999998</v>
      </c>
      <c r="F390" s="28">
        <v>22.515132600000001</v>
      </c>
      <c r="G390" s="28">
        <v>17.979219499999999</v>
      </c>
      <c r="H390" s="28">
        <v>51.247118299999997</v>
      </c>
      <c r="I390" s="28">
        <v>37.388564199999998</v>
      </c>
      <c r="J390" s="28">
        <v>980.97645699999998</v>
      </c>
      <c r="K390" s="28">
        <v>959.24673199999995</v>
      </c>
      <c r="L390" s="28">
        <v>4.9981382300000003</v>
      </c>
      <c r="M390" s="28">
        <v>109.362247</v>
      </c>
      <c r="N390" s="28">
        <v>50.595267900000003</v>
      </c>
      <c r="O390" s="28">
        <v>1000.41696</v>
      </c>
      <c r="P390" s="28">
        <v>999.58303999999998</v>
      </c>
    </row>
    <row r="391" spans="1:16" x14ac:dyDescent="0.25">
      <c r="A391" s="40">
        <v>1</v>
      </c>
      <c r="B391" s="40">
        <v>137</v>
      </c>
      <c r="C391" s="28">
        <v>13.4597034</v>
      </c>
      <c r="D391" s="28">
        <v>6.4477305899999999</v>
      </c>
      <c r="E391" s="28">
        <v>30.343446199999999</v>
      </c>
      <c r="F391" s="28">
        <v>22.694221200000001</v>
      </c>
      <c r="G391" s="28">
        <v>17.903946600000001</v>
      </c>
      <c r="H391" s="28">
        <v>51.543165799999997</v>
      </c>
      <c r="I391" s="28">
        <v>37.758271899999997</v>
      </c>
      <c r="J391" s="28">
        <v>983.62836300000004</v>
      </c>
      <c r="K391" s="28">
        <v>963.73258999999996</v>
      </c>
      <c r="L391" s="28">
        <v>4.9701457500000004</v>
      </c>
      <c r="M391" s="28">
        <v>109.73260999999999</v>
      </c>
      <c r="N391" s="28">
        <v>50.798899499999997</v>
      </c>
      <c r="O391" s="28">
        <v>994.81404199999997</v>
      </c>
      <c r="P391" s="28">
        <v>1005.18596</v>
      </c>
    </row>
    <row r="392" spans="1:16" x14ac:dyDescent="0.25">
      <c r="A392" s="40">
        <v>1</v>
      </c>
      <c r="B392" s="40">
        <v>138</v>
      </c>
      <c r="C392" s="28">
        <v>13.4545029</v>
      </c>
      <c r="D392" s="28">
        <v>6.4432503700000003</v>
      </c>
      <c r="E392" s="28">
        <v>30.415324200000001</v>
      </c>
      <c r="F392" s="28">
        <v>22.6284858</v>
      </c>
      <c r="G392" s="28">
        <v>18.042308200000001</v>
      </c>
      <c r="H392" s="28">
        <v>51.415523</v>
      </c>
      <c r="I392" s="28">
        <v>37.031591200000001</v>
      </c>
      <c r="J392" s="28">
        <v>981.21269199999995</v>
      </c>
      <c r="K392" s="28">
        <v>962.92855199999997</v>
      </c>
      <c r="L392" s="28">
        <v>4.97463648</v>
      </c>
      <c r="M392" s="28">
        <v>109.598861</v>
      </c>
      <c r="N392" s="28">
        <v>50.637785999999998</v>
      </c>
      <c r="O392" s="28">
        <v>995.712898</v>
      </c>
      <c r="P392" s="28">
        <v>1004.2871</v>
      </c>
    </row>
    <row r="393" spans="1:16" x14ac:dyDescent="0.25">
      <c r="A393" s="40">
        <v>1</v>
      </c>
      <c r="B393" s="40">
        <v>139</v>
      </c>
      <c r="C393" s="28">
        <v>13.4304741</v>
      </c>
      <c r="D393" s="28">
        <v>6.4329579299999997</v>
      </c>
      <c r="E393" s="28">
        <v>30.478585500000001</v>
      </c>
      <c r="F393" s="28">
        <v>22.610143600000001</v>
      </c>
      <c r="G393" s="28">
        <v>18.118820899999999</v>
      </c>
      <c r="H393" s="28">
        <v>50.848451599999997</v>
      </c>
      <c r="I393" s="28">
        <v>36.873534300000003</v>
      </c>
      <c r="J393" s="28">
        <v>982.32123000000001</v>
      </c>
      <c r="K393" s="28">
        <v>964.15951900000005</v>
      </c>
      <c r="L393" s="28">
        <v>4.9882508899999998</v>
      </c>
      <c r="M393" s="28">
        <v>109.230102</v>
      </c>
      <c r="N393" s="28">
        <v>50.386131399999996</v>
      </c>
      <c r="O393" s="28">
        <v>998.43793000000005</v>
      </c>
      <c r="P393" s="28">
        <v>1001.5620699999999</v>
      </c>
    </row>
    <row r="394" spans="1:16" x14ac:dyDescent="0.25">
      <c r="A394" s="40">
        <v>1</v>
      </c>
      <c r="B394" s="40">
        <v>140</v>
      </c>
      <c r="C394" s="28">
        <v>13.489716</v>
      </c>
      <c r="D394" s="28">
        <v>6.4281784699999998</v>
      </c>
      <c r="E394" s="28">
        <v>30.766495200000001</v>
      </c>
      <c r="F394" s="28">
        <v>22.398197400000001</v>
      </c>
      <c r="G394" s="28">
        <v>18.024075100000001</v>
      </c>
      <c r="H394" s="28">
        <v>50.858098200000001</v>
      </c>
      <c r="I394" s="28">
        <v>36.5189065</v>
      </c>
      <c r="J394" s="28">
        <v>980.80985199999998</v>
      </c>
      <c r="K394" s="28">
        <v>966.27255600000001</v>
      </c>
      <c r="L394" s="28">
        <v>4.9651638</v>
      </c>
      <c r="M394" s="28">
        <v>109.064525</v>
      </c>
      <c r="N394" s="28">
        <v>50.149441899999999</v>
      </c>
      <c r="O394" s="28">
        <v>993.816867</v>
      </c>
      <c r="P394" s="28">
        <v>1006.18313</v>
      </c>
    </row>
    <row r="395" spans="1:16" x14ac:dyDescent="0.25">
      <c r="A395" s="40">
        <v>1</v>
      </c>
      <c r="B395" s="40">
        <v>141</v>
      </c>
      <c r="C395" s="28">
        <v>13.5992666</v>
      </c>
      <c r="D395" s="28">
        <v>6.4255993599999996</v>
      </c>
      <c r="E395" s="28">
        <v>31.115440199999998</v>
      </c>
      <c r="F395" s="28">
        <v>22.3591245</v>
      </c>
      <c r="G395" s="28">
        <v>18.2284696</v>
      </c>
      <c r="H395" s="28">
        <v>51.370837299999998</v>
      </c>
      <c r="I395" s="28">
        <v>36.716845900000003</v>
      </c>
      <c r="J395" s="28">
        <v>981.74782000000005</v>
      </c>
      <c r="K395" s="28">
        <v>962.66409199999998</v>
      </c>
      <c r="L395" s="28">
        <v>4.9793343999999999</v>
      </c>
      <c r="M395" s="28">
        <v>109.37008400000001</v>
      </c>
      <c r="N395" s="28">
        <v>49.733351399999997</v>
      </c>
      <c r="O395" s="28">
        <v>996.65322400000002</v>
      </c>
      <c r="P395" s="28">
        <v>1003.34678</v>
      </c>
    </row>
    <row r="396" spans="1:16" x14ac:dyDescent="0.25">
      <c r="A396" s="40">
        <v>1</v>
      </c>
      <c r="B396" s="40">
        <v>142</v>
      </c>
      <c r="C396" s="28">
        <v>13.5966529</v>
      </c>
      <c r="D396" s="28">
        <v>6.41859716</v>
      </c>
      <c r="E396" s="28">
        <v>31.2694358</v>
      </c>
      <c r="F396" s="28">
        <v>22.692291300000001</v>
      </c>
      <c r="G396" s="28">
        <v>18.1963689</v>
      </c>
      <c r="H396" s="28">
        <v>51.414341499999999</v>
      </c>
      <c r="I396" s="28">
        <v>36.546200300000002</v>
      </c>
      <c r="J396" s="28">
        <v>980.72383400000001</v>
      </c>
      <c r="K396" s="28">
        <v>964.85535600000003</v>
      </c>
      <c r="L396" s="28">
        <v>4.9654003600000003</v>
      </c>
      <c r="M396" s="28">
        <v>109.49046</v>
      </c>
      <c r="N396" s="28">
        <v>50.401457800000003</v>
      </c>
      <c r="O396" s="28">
        <v>993.86421600000006</v>
      </c>
      <c r="P396" s="28">
        <v>1006.13578</v>
      </c>
    </row>
    <row r="397" spans="1:16" x14ac:dyDescent="0.25">
      <c r="A397" s="40">
        <v>1</v>
      </c>
      <c r="B397" s="40">
        <v>143</v>
      </c>
      <c r="C397" s="28">
        <v>13.601713500000001</v>
      </c>
      <c r="D397" s="28">
        <v>6.4447961899999999</v>
      </c>
      <c r="E397" s="28">
        <v>30.978790799999999</v>
      </c>
      <c r="F397" s="28">
        <v>22.560279900000001</v>
      </c>
      <c r="G397" s="28">
        <v>18.226811900000001</v>
      </c>
      <c r="H397" s="28">
        <v>51.6635852</v>
      </c>
      <c r="I397" s="28">
        <v>36.551870399999999</v>
      </c>
      <c r="J397" s="28">
        <v>982.64956700000005</v>
      </c>
      <c r="K397" s="28">
        <v>967.27549599999998</v>
      </c>
      <c r="L397" s="28">
        <v>4.9140757099999997</v>
      </c>
      <c r="M397" s="28">
        <v>109.798058</v>
      </c>
      <c r="N397" s="28">
        <v>50.761677599999999</v>
      </c>
      <c r="O397" s="28">
        <v>983.59118000000001</v>
      </c>
      <c r="P397" s="28">
        <v>1016.40882</v>
      </c>
    </row>
    <row r="398" spans="1:16" x14ac:dyDescent="0.25">
      <c r="A398" s="40">
        <v>1</v>
      </c>
      <c r="B398" s="40">
        <v>144</v>
      </c>
      <c r="C398" s="28">
        <v>13.490116799999999</v>
      </c>
      <c r="D398" s="28">
        <v>6.4131804099999998</v>
      </c>
      <c r="E398" s="28">
        <v>30.913575000000002</v>
      </c>
      <c r="F398" s="28">
        <v>22.459805899999999</v>
      </c>
      <c r="G398" s="28">
        <v>18.082406599999999</v>
      </c>
      <c r="H398" s="28">
        <v>52.325890100000002</v>
      </c>
      <c r="I398" s="28">
        <v>36.053253900000001</v>
      </c>
      <c r="J398" s="28">
        <v>981.86142400000006</v>
      </c>
      <c r="K398" s="28">
        <v>963.44856400000003</v>
      </c>
      <c r="L398" s="28">
        <v>4.9028013000000001</v>
      </c>
      <c r="M398" s="28">
        <v>109.11271000000001</v>
      </c>
      <c r="N398" s="28">
        <v>50.397354100000001</v>
      </c>
      <c r="O398" s="28">
        <v>981.334518</v>
      </c>
      <c r="P398" s="28">
        <v>1018.66548</v>
      </c>
    </row>
    <row r="399" spans="1:16" x14ac:dyDescent="0.25">
      <c r="A399" s="40">
        <v>1</v>
      </c>
      <c r="B399" s="40">
        <v>145</v>
      </c>
      <c r="C399" s="28">
        <v>13.450400699999999</v>
      </c>
      <c r="D399" s="28">
        <v>6.4387672</v>
      </c>
      <c r="E399" s="28">
        <v>30.932847299999999</v>
      </c>
      <c r="F399" s="28">
        <v>22.195378300000002</v>
      </c>
      <c r="G399" s="28">
        <v>18.051266900000002</v>
      </c>
      <c r="H399" s="28">
        <v>51.878013000000003</v>
      </c>
      <c r="I399" s="28">
        <v>36.531665500000003</v>
      </c>
      <c r="J399" s="28">
        <v>983.05800199999999</v>
      </c>
      <c r="K399" s="28">
        <v>966.71437100000003</v>
      </c>
      <c r="L399" s="28">
        <v>4.9299261300000001</v>
      </c>
      <c r="M399" s="28">
        <v>108.71180200000001</v>
      </c>
      <c r="N399" s="28">
        <v>50.693452499999999</v>
      </c>
      <c r="O399" s="28">
        <v>986.76376800000003</v>
      </c>
      <c r="P399" s="28">
        <v>1013.23623</v>
      </c>
    </row>
    <row r="400" spans="1:16" x14ac:dyDescent="0.25">
      <c r="A400" s="40">
        <v>1</v>
      </c>
      <c r="B400" s="40">
        <v>146</v>
      </c>
      <c r="C400" s="28">
        <v>13.3336515</v>
      </c>
      <c r="D400" s="28">
        <v>6.45073645</v>
      </c>
      <c r="E400" s="28">
        <v>30.976884999999999</v>
      </c>
      <c r="F400" s="28">
        <v>22.126805000000001</v>
      </c>
      <c r="G400" s="28">
        <v>18.0417667</v>
      </c>
      <c r="H400" s="28">
        <v>52.250510200000001</v>
      </c>
      <c r="I400" s="28">
        <v>36.319041800000001</v>
      </c>
      <c r="J400" s="28">
        <v>981.20959100000005</v>
      </c>
      <c r="K400" s="28">
        <v>965.56421599999999</v>
      </c>
      <c r="L400" s="28">
        <v>4.82258561</v>
      </c>
      <c r="M400" s="28">
        <v>108.52521400000001</v>
      </c>
      <c r="N400" s="28">
        <v>50.965946799999998</v>
      </c>
      <c r="O400" s="28">
        <v>965.27871300000004</v>
      </c>
      <c r="P400" s="28">
        <v>1034.72129</v>
      </c>
    </row>
    <row r="401" spans="1:16" x14ac:dyDescent="0.25">
      <c r="A401" s="40">
        <v>1</v>
      </c>
      <c r="B401" s="40">
        <v>147</v>
      </c>
      <c r="C401" s="28">
        <v>13.295878699999999</v>
      </c>
      <c r="D401" s="28">
        <v>6.4527200200000001</v>
      </c>
      <c r="E401" s="28">
        <v>30.712578300000001</v>
      </c>
      <c r="F401" s="28">
        <v>22.1092412</v>
      </c>
      <c r="G401" s="28">
        <v>17.9750266</v>
      </c>
      <c r="H401" s="28">
        <v>51.756363299999997</v>
      </c>
      <c r="I401" s="28">
        <v>35.721412899999997</v>
      </c>
      <c r="J401" s="28">
        <v>983.24560499999995</v>
      </c>
      <c r="K401" s="28">
        <v>968.37542399999995</v>
      </c>
      <c r="L401" s="28">
        <v>4.82997911</v>
      </c>
      <c r="M401" s="28">
        <v>107.728877</v>
      </c>
      <c r="N401" s="28">
        <v>51.0416101</v>
      </c>
      <c r="O401" s="28">
        <v>966.75858000000005</v>
      </c>
      <c r="P401" s="28">
        <v>1033.2414200000001</v>
      </c>
    </row>
    <row r="402" spans="1:16" x14ac:dyDescent="0.25">
      <c r="A402" s="40">
        <v>1</v>
      </c>
      <c r="B402" s="40">
        <v>148</v>
      </c>
      <c r="C402" s="28">
        <v>13.253045800000001</v>
      </c>
      <c r="D402" s="28">
        <v>6.3770515000000003</v>
      </c>
      <c r="E402" s="28">
        <v>30.897412299999999</v>
      </c>
      <c r="F402" s="28">
        <v>22.0846874</v>
      </c>
      <c r="G402" s="28">
        <v>18.086759300000001</v>
      </c>
      <c r="H402" s="28">
        <v>51.011930300000003</v>
      </c>
      <c r="I402" s="28">
        <v>35.6941238</v>
      </c>
      <c r="J402" s="28">
        <v>981.13398199999995</v>
      </c>
      <c r="K402" s="28">
        <v>967.50010899999995</v>
      </c>
      <c r="L402" s="28">
        <v>4.8317209800000001</v>
      </c>
      <c r="M402" s="28">
        <v>107.36415599999999</v>
      </c>
      <c r="N402" s="28">
        <v>50.9620289</v>
      </c>
      <c r="O402" s="28">
        <v>967.10722999999996</v>
      </c>
      <c r="P402" s="28">
        <v>1032.8927699999999</v>
      </c>
    </row>
    <row r="403" spans="1:16" x14ac:dyDescent="0.25">
      <c r="A403" s="40">
        <v>1</v>
      </c>
      <c r="B403" s="40">
        <v>149</v>
      </c>
      <c r="C403" s="28">
        <v>13.323380999999999</v>
      </c>
      <c r="D403" s="28">
        <v>6.3950553499999998</v>
      </c>
      <c r="E403" s="28">
        <v>30.754521499999999</v>
      </c>
      <c r="F403" s="28">
        <v>22.1715637</v>
      </c>
      <c r="G403" s="28">
        <v>18.001762800000002</v>
      </c>
      <c r="H403" s="28">
        <v>51.238646000000003</v>
      </c>
      <c r="I403" s="28">
        <v>35.449691799999997</v>
      </c>
      <c r="J403" s="28">
        <v>983.70184500000005</v>
      </c>
      <c r="K403" s="28">
        <v>963.69274800000005</v>
      </c>
      <c r="L403" s="28">
        <v>4.8809352199999996</v>
      </c>
      <c r="M403" s="28">
        <v>107.45889200000001</v>
      </c>
      <c r="N403" s="28">
        <v>51.172453099999998</v>
      </c>
      <c r="O403" s="28">
        <v>976.95784900000001</v>
      </c>
      <c r="P403" s="28">
        <v>1023.04215</v>
      </c>
    </row>
    <row r="404" spans="1:16" x14ac:dyDescent="0.25">
      <c r="A404" s="40">
        <v>1</v>
      </c>
      <c r="B404" s="40">
        <v>150</v>
      </c>
      <c r="C404" s="28">
        <v>13.333621300000001</v>
      </c>
      <c r="D404" s="28">
        <v>6.4327194399999996</v>
      </c>
      <c r="E404" s="28">
        <v>30.713966599999999</v>
      </c>
      <c r="F404" s="28">
        <v>22.1930558</v>
      </c>
      <c r="G404" s="28">
        <v>18.055970200000001</v>
      </c>
      <c r="H404" s="28">
        <v>52.113234599999998</v>
      </c>
      <c r="I404" s="28">
        <v>35.697024300000002</v>
      </c>
      <c r="J404" s="28">
        <v>982.54299500000002</v>
      </c>
      <c r="K404" s="28">
        <v>964.54303800000002</v>
      </c>
      <c r="L404" s="28">
        <v>4.9912720400000001</v>
      </c>
      <c r="M404" s="28">
        <v>108.158103</v>
      </c>
      <c r="N404" s="28">
        <v>51.647130099999998</v>
      </c>
      <c r="O404" s="28">
        <v>999.04263800000001</v>
      </c>
      <c r="P404" s="28">
        <v>1000.95736</v>
      </c>
    </row>
    <row r="405" spans="1:16" x14ac:dyDescent="0.25">
      <c r="A405" s="40">
        <v>1</v>
      </c>
      <c r="B405" s="40">
        <v>151</v>
      </c>
      <c r="C405" s="28">
        <v>13.377398400000001</v>
      </c>
      <c r="D405" s="28">
        <v>6.4872276199999996</v>
      </c>
      <c r="E405" s="28">
        <v>30.766068799999999</v>
      </c>
      <c r="F405" s="28">
        <v>22.3780076</v>
      </c>
      <c r="G405" s="28">
        <v>18.177849800000001</v>
      </c>
      <c r="H405" s="28">
        <v>52.468315599999997</v>
      </c>
      <c r="I405" s="28">
        <v>35.985742000000002</v>
      </c>
      <c r="J405" s="28">
        <v>983.81985299999997</v>
      </c>
      <c r="K405" s="28">
        <v>961.01649599999996</v>
      </c>
      <c r="L405" s="28">
        <v>5.0483373199999999</v>
      </c>
      <c r="M405" s="28">
        <v>108.508306</v>
      </c>
      <c r="N405" s="28">
        <v>51.6575992</v>
      </c>
      <c r="O405" s="28">
        <v>1010.46471</v>
      </c>
      <c r="P405" s="28">
        <v>989.53529500000002</v>
      </c>
    </row>
    <row r="406" spans="1:16" x14ac:dyDescent="0.25">
      <c r="A406" s="40">
        <v>1</v>
      </c>
      <c r="B406" s="40">
        <v>152</v>
      </c>
      <c r="C406" s="28">
        <v>13.2295281</v>
      </c>
      <c r="D406" s="28">
        <v>6.4456537999999997</v>
      </c>
      <c r="E406" s="28">
        <v>30.574581299999998</v>
      </c>
      <c r="F406" s="28">
        <v>22.354999500000002</v>
      </c>
      <c r="G406" s="28">
        <v>18.176653600000002</v>
      </c>
      <c r="H406" s="28">
        <v>52.646007900000001</v>
      </c>
      <c r="I406" s="28">
        <v>36.434677499999999</v>
      </c>
      <c r="J406" s="28">
        <v>982.67730400000005</v>
      </c>
      <c r="K406" s="28">
        <v>954.94675400000006</v>
      </c>
      <c r="L406" s="28">
        <v>5.1303228900000004</v>
      </c>
      <c r="M406" s="28">
        <v>108.715643</v>
      </c>
      <c r="N406" s="28">
        <v>52.022921099999998</v>
      </c>
      <c r="O406" s="28">
        <v>1026.8747699999999</v>
      </c>
      <c r="P406" s="28">
        <v>973.12523399999998</v>
      </c>
    </row>
    <row r="407" spans="1:16" x14ac:dyDescent="0.25">
      <c r="A407" s="40">
        <v>1</v>
      </c>
      <c r="B407" s="40">
        <v>153</v>
      </c>
      <c r="C407" s="28">
        <v>13.2290841</v>
      </c>
      <c r="D407" s="28">
        <v>6.3864492899999998</v>
      </c>
      <c r="E407" s="28">
        <v>30.512131100000001</v>
      </c>
      <c r="F407" s="28">
        <v>22.239359799999999</v>
      </c>
      <c r="G407" s="28">
        <v>18.157739400000001</v>
      </c>
      <c r="H407" s="28">
        <v>52.061490300000003</v>
      </c>
      <c r="I407" s="28">
        <v>36.649950500000003</v>
      </c>
      <c r="J407" s="28">
        <v>984.38349500000004</v>
      </c>
      <c r="K407" s="28">
        <v>953.41443000000004</v>
      </c>
      <c r="L407" s="28">
        <v>5.1521781899999999</v>
      </c>
      <c r="M407" s="28">
        <v>108.162462</v>
      </c>
      <c r="N407" s="28">
        <v>52.110681800000002</v>
      </c>
      <c r="O407" s="28">
        <v>1031.24928</v>
      </c>
      <c r="P407" s="28">
        <v>968.75072299999999</v>
      </c>
    </row>
    <row r="408" spans="1:16" x14ac:dyDescent="0.25">
      <c r="A408" s="40">
        <v>1</v>
      </c>
      <c r="B408" s="40">
        <v>154</v>
      </c>
      <c r="C408" s="28">
        <v>13.1791444</v>
      </c>
      <c r="D408" s="28">
        <v>6.4284536499999998</v>
      </c>
      <c r="E408" s="28">
        <v>30.5347492</v>
      </c>
      <c r="F408" s="28">
        <v>22.4208432</v>
      </c>
      <c r="G408" s="28">
        <v>18.247076</v>
      </c>
      <c r="H408" s="28">
        <v>51.650254699999998</v>
      </c>
      <c r="I408" s="28">
        <v>36.318531800000002</v>
      </c>
      <c r="J408" s="28">
        <v>982.44834300000002</v>
      </c>
      <c r="K408" s="28">
        <v>952.630315</v>
      </c>
      <c r="L408" s="28">
        <v>5.0823366200000004</v>
      </c>
      <c r="M408" s="28">
        <v>108.335345</v>
      </c>
      <c r="N408" s="28">
        <v>51.392521299999999</v>
      </c>
      <c r="O408" s="28">
        <v>1017.26994</v>
      </c>
      <c r="P408" s="28">
        <v>982.73006499999997</v>
      </c>
    </row>
    <row r="409" spans="1:16" x14ac:dyDescent="0.25">
      <c r="A409" s="40">
        <v>1</v>
      </c>
      <c r="B409" s="40">
        <v>155</v>
      </c>
      <c r="C409" s="28">
        <v>13.0925513</v>
      </c>
      <c r="D409" s="28">
        <v>6.4714166500000001</v>
      </c>
      <c r="E409" s="28">
        <v>30.735594299999999</v>
      </c>
      <c r="F409" s="28">
        <v>22.507536999999999</v>
      </c>
      <c r="G409" s="28">
        <v>18.314925200000001</v>
      </c>
      <c r="H409" s="28">
        <v>51.835203800000002</v>
      </c>
      <c r="I409" s="28">
        <v>36.419672900000002</v>
      </c>
      <c r="J409" s="28">
        <v>983.09668599999998</v>
      </c>
      <c r="K409" s="28">
        <v>948.92584699999998</v>
      </c>
      <c r="L409" s="28">
        <v>5.0577589200000004</v>
      </c>
      <c r="M409" s="28">
        <v>108.733642</v>
      </c>
      <c r="N409" s="28">
        <v>51.695351000000002</v>
      </c>
      <c r="O409" s="28">
        <v>1012.35051</v>
      </c>
      <c r="P409" s="28">
        <v>987.64948700000002</v>
      </c>
    </row>
    <row r="410" spans="1:16" x14ac:dyDescent="0.25">
      <c r="A410" s="40">
        <v>1</v>
      </c>
      <c r="B410" s="40">
        <v>156</v>
      </c>
      <c r="C410" s="28">
        <v>13.0718552</v>
      </c>
      <c r="D410" s="28">
        <v>6.5153308900000004</v>
      </c>
      <c r="E410" s="28">
        <v>30.6734145</v>
      </c>
      <c r="F410" s="28">
        <v>22.570174099999999</v>
      </c>
      <c r="G410" s="28">
        <v>18.415174199999999</v>
      </c>
      <c r="H410" s="28">
        <v>51.902168600000003</v>
      </c>
      <c r="I410" s="28">
        <v>36.8277778</v>
      </c>
      <c r="J410" s="28">
        <v>981.48476800000003</v>
      </c>
      <c r="K410" s="28">
        <v>946.92531299999996</v>
      </c>
      <c r="L410" s="28">
        <v>5.1064796499999998</v>
      </c>
      <c r="M410" s="28">
        <v>109.076437</v>
      </c>
      <c r="N410" s="28">
        <v>51.6176247</v>
      </c>
      <c r="O410" s="28">
        <v>1022.10235</v>
      </c>
      <c r="P410" s="28">
        <v>977.897648</v>
      </c>
    </row>
    <row r="411" spans="1:16" x14ac:dyDescent="0.25">
      <c r="A411" s="40">
        <v>1</v>
      </c>
      <c r="B411" s="40">
        <v>157</v>
      </c>
      <c r="C411" s="28">
        <v>13.1877142</v>
      </c>
      <c r="D411" s="28">
        <v>6.4828536899999998</v>
      </c>
      <c r="E411" s="28">
        <v>30.6101511</v>
      </c>
      <c r="F411" s="28">
        <v>22.596039600000001</v>
      </c>
      <c r="G411" s="28">
        <v>18.4979519</v>
      </c>
      <c r="H411" s="28">
        <v>51.594458099999997</v>
      </c>
      <c r="I411" s="28">
        <v>36.678728599999999</v>
      </c>
      <c r="J411" s="28">
        <v>983.19190700000001</v>
      </c>
      <c r="K411" s="28">
        <v>948.20189600000003</v>
      </c>
      <c r="L411" s="28">
        <v>5.0531823400000002</v>
      </c>
      <c r="M411" s="28">
        <v>108.857044</v>
      </c>
      <c r="N411" s="28">
        <v>51.086070999999997</v>
      </c>
      <c r="O411" s="28">
        <v>1011.43447</v>
      </c>
      <c r="P411" s="28">
        <v>988.56552599999998</v>
      </c>
    </row>
    <row r="412" spans="1:16" x14ac:dyDescent="0.25">
      <c r="A412" s="40">
        <v>1</v>
      </c>
      <c r="B412" s="40">
        <v>158</v>
      </c>
      <c r="C412" s="28">
        <v>13.1088474</v>
      </c>
      <c r="D412" s="28">
        <v>6.4265690700000002</v>
      </c>
      <c r="E412" s="28">
        <v>30.598809899999999</v>
      </c>
      <c r="F412" s="28">
        <v>22.670306799999999</v>
      </c>
      <c r="G412" s="28">
        <v>18.540409100000002</v>
      </c>
      <c r="H412" s="28">
        <v>51.564362600000003</v>
      </c>
      <c r="I412" s="28">
        <v>36.837962599999997</v>
      </c>
      <c r="J412" s="28">
        <v>982.03640800000005</v>
      </c>
      <c r="K412" s="28">
        <v>947.08643900000004</v>
      </c>
      <c r="L412" s="28">
        <v>5.0459951299999997</v>
      </c>
      <c r="M412" s="28">
        <v>108.50393</v>
      </c>
      <c r="N412" s="28">
        <v>51.017593599999998</v>
      </c>
      <c r="O412" s="28">
        <v>1009.9959</v>
      </c>
      <c r="P412" s="28">
        <v>990.00410299999999</v>
      </c>
    </row>
    <row r="413" spans="1:16" x14ac:dyDescent="0.25">
      <c r="A413" s="40">
        <v>1</v>
      </c>
      <c r="B413" s="40">
        <v>159</v>
      </c>
      <c r="C413" s="28">
        <v>13.1792324</v>
      </c>
      <c r="D413" s="28">
        <v>6.4206571300000004</v>
      </c>
      <c r="E413" s="28">
        <v>30.811816400000001</v>
      </c>
      <c r="F413" s="28">
        <v>22.850851299999999</v>
      </c>
      <c r="G413" s="28">
        <v>18.653839900000001</v>
      </c>
      <c r="H413" s="28">
        <v>51.743802899999999</v>
      </c>
      <c r="I413" s="28">
        <v>36.860680100000003</v>
      </c>
      <c r="J413" s="28">
        <v>983.31780700000002</v>
      </c>
      <c r="K413" s="28">
        <v>949.88982199999998</v>
      </c>
      <c r="L413" s="28">
        <v>5.04569914</v>
      </c>
      <c r="M413" s="28">
        <v>108.939353</v>
      </c>
      <c r="N413" s="28">
        <v>51.967850400000003</v>
      </c>
      <c r="O413" s="28">
        <v>1009.93665</v>
      </c>
      <c r="P413" s="28">
        <v>990.06334800000002</v>
      </c>
    </row>
    <row r="414" spans="1:16" x14ac:dyDescent="0.25">
      <c r="A414" s="40">
        <v>1</v>
      </c>
      <c r="B414" s="40">
        <v>160</v>
      </c>
      <c r="C414" s="28">
        <v>13.287237899999999</v>
      </c>
      <c r="D414" s="28">
        <v>6.4036031500000004</v>
      </c>
      <c r="E414" s="28">
        <v>31.040429700000001</v>
      </c>
      <c r="F414" s="28">
        <v>22.721685900000001</v>
      </c>
      <c r="G414" s="28">
        <v>18.651437099999999</v>
      </c>
      <c r="H414" s="28">
        <v>51.299887200000001</v>
      </c>
      <c r="I414" s="28">
        <v>37.027599799999997</v>
      </c>
      <c r="J414" s="28">
        <v>982.03317100000004</v>
      </c>
      <c r="K414" s="28">
        <v>958.10272399999997</v>
      </c>
      <c r="L414" s="28">
        <v>4.9698421000000002</v>
      </c>
      <c r="M414" s="28">
        <v>108.932244</v>
      </c>
      <c r="N414" s="28">
        <v>51.498835300000003</v>
      </c>
      <c r="O414" s="28">
        <v>994.75326600000005</v>
      </c>
      <c r="P414" s="28">
        <v>1005.24673</v>
      </c>
    </row>
    <row r="415" spans="1:16" x14ac:dyDescent="0.25">
      <c r="A415" s="40">
        <v>1</v>
      </c>
      <c r="B415" s="40">
        <v>161</v>
      </c>
      <c r="C415" s="28">
        <v>13.215044300000001</v>
      </c>
      <c r="D415" s="28">
        <v>6.4676814</v>
      </c>
      <c r="E415" s="28">
        <v>31.103254799999998</v>
      </c>
      <c r="F415" s="28">
        <v>22.843491700000001</v>
      </c>
      <c r="G415" s="28">
        <v>18.887529300000001</v>
      </c>
      <c r="H415" s="28">
        <v>51.870877399999998</v>
      </c>
      <c r="I415" s="28">
        <v>37.108827599999998</v>
      </c>
      <c r="J415" s="28">
        <v>982.12632399999995</v>
      </c>
      <c r="K415" s="28">
        <v>959.31258400000002</v>
      </c>
      <c r="L415" s="28">
        <v>4.9146849100000001</v>
      </c>
      <c r="M415" s="28">
        <v>109.30855699999999</v>
      </c>
      <c r="N415" s="28">
        <v>51.085780399999997</v>
      </c>
      <c r="O415" s="28">
        <v>983.71311600000001</v>
      </c>
      <c r="P415" s="28">
        <v>1016.28688</v>
      </c>
    </row>
    <row r="416" spans="1:16" x14ac:dyDescent="0.25">
      <c r="A416" s="40">
        <v>1</v>
      </c>
      <c r="B416" s="40">
        <v>162</v>
      </c>
      <c r="C416" s="28">
        <v>13.177050899999999</v>
      </c>
      <c r="D416" s="28">
        <v>6.4422523099999998</v>
      </c>
      <c r="E416" s="28">
        <v>31.076722199999999</v>
      </c>
      <c r="F416" s="28">
        <v>22.677744700000002</v>
      </c>
      <c r="G416" s="28">
        <v>18.832106700000001</v>
      </c>
      <c r="H416" s="28">
        <v>51.891927099999997</v>
      </c>
      <c r="I416" s="28">
        <v>36.775646299999998</v>
      </c>
      <c r="J416" s="28">
        <v>981.10526000000004</v>
      </c>
      <c r="K416" s="28">
        <v>952.40617199999997</v>
      </c>
      <c r="L416" s="28">
        <v>4.8910342199999999</v>
      </c>
      <c r="M416" s="28">
        <v>109.178247</v>
      </c>
      <c r="N416" s="28">
        <v>51.3099019</v>
      </c>
      <c r="O416" s="28">
        <v>978.97924399999999</v>
      </c>
      <c r="P416" s="28">
        <v>1021.02076</v>
      </c>
    </row>
    <row r="417" spans="1:16" x14ac:dyDescent="0.25">
      <c r="A417" s="40">
        <v>1</v>
      </c>
      <c r="B417" s="40">
        <v>163</v>
      </c>
      <c r="C417" s="28">
        <v>13.1851412</v>
      </c>
      <c r="D417" s="28">
        <v>6.4649219899999997</v>
      </c>
      <c r="E417" s="28">
        <v>30.950662600000001</v>
      </c>
      <c r="F417" s="28">
        <v>22.777992999999999</v>
      </c>
      <c r="G417" s="28">
        <v>18.659563299999999</v>
      </c>
      <c r="H417" s="28">
        <v>52.112486400000002</v>
      </c>
      <c r="I417" s="28">
        <v>37.3655513</v>
      </c>
      <c r="J417" s="28">
        <v>983.65778399999999</v>
      </c>
      <c r="K417" s="28">
        <v>950.80203300000005</v>
      </c>
      <c r="L417" s="28">
        <v>4.9018078200000001</v>
      </c>
      <c r="M417" s="28">
        <v>109.40073</v>
      </c>
      <c r="N417" s="28">
        <v>51.9556866</v>
      </c>
      <c r="O417" s="28">
        <v>981.13566400000002</v>
      </c>
      <c r="P417" s="28">
        <v>1018.86434</v>
      </c>
    </row>
    <row r="418" spans="1:16" x14ac:dyDescent="0.25">
      <c r="A418" s="40">
        <v>1</v>
      </c>
      <c r="B418" s="40">
        <v>164</v>
      </c>
      <c r="C418" s="28">
        <v>13.0779067</v>
      </c>
      <c r="D418" s="28">
        <v>6.4929784799999997</v>
      </c>
      <c r="E418" s="28">
        <v>31.005139499999999</v>
      </c>
      <c r="F418" s="28">
        <v>22.649235900000001</v>
      </c>
      <c r="G418" s="28">
        <v>18.294855800000001</v>
      </c>
      <c r="H418" s="28">
        <v>51.473559899999998</v>
      </c>
      <c r="I418" s="28">
        <v>36.3854744</v>
      </c>
      <c r="J418" s="28">
        <v>983.204522</v>
      </c>
      <c r="K418" s="28">
        <v>947.59914600000002</v>
      </c>
      <c r="L418" s="28">
        <v>4.8873601300000002</v>
      </c>
      <c r="M418" s="28">
        <v>108.375112</v>
      </c>
      <c r="N418" s="28">
        <v>52.019175300000001</v>
      </c>
      <c r="O418" s="28">
        <v>978.24384499999996</v>
      </c>
      <c r="P418" s="28">
        <v>1021.75616</v>
      </c>
    </row>
    <row r="419" spans="1:16" x14ac:dyDescent="0.25">
      <c r="A419" s="40">
        <v>1</v>
      </c>
      <c r="B419" s="40">
        <v>165</v>
      </c>
      <c r="C419" s="28">
        <v>12.9545987</v>
      </c>
      <c r="D419" s="28">
        <v>6.4486852700000004</v>
      </c>
      <c r="E419" s="28">
        <v>30.687252699999998</v>
      </c>
      <c r="F419" s="28">
        <v>22.577044999999998</v>
      </c>
      <c r="G419" s="28">
        <v>18.464116799999999</v>
      </c>
      <c r="H419" s="28">
        <v>51.169948099999999</v>
      </c>
      <c r="I419" s="28">
        <v>35.8338562</v>
      </c>
      <c r="J419" s="28">
        <v>983.81373699999995</v>
      </c>
      <c r="K419" s="28">
        <v>948.222759</v>
      </c>
      <c r="L419" s="28">
        <v>4.8803439900000001</v>
      </c>
      <c r="M419" s="28">
        <v>107.542599</v>
      </c>
      <c r="N419" s="28">
        <v>52.0770762</v>
      </c>
      <c r="O419" s="28">
        <v>976.83951000000002</v>
      </c>
      <c r="P419" s="28">
        <v>1023.16049</v>
      </c>
    </row>
    <row r="420" spans="1:16" x14ac:dyDescent="0.25">
      <c r="A420" s="40">
        <v>1</v>
      </c>
      <c r="B420" s="40">
        <v>166</v>
      </c>
      <c r="C420" s="28">
        <v>12.9642146</v>
      </c>
      <c r="D420" s="28">
        <v>6.3945954699999996</v>
      </c>
      <c r="E420" s="28">
        <v>30.822713700000001</v>
      </c>
      <c r="F420" s="28">
        <v>22.744582399999999</v>
      </c>
      <c r="G420" s="28">
        <v>18.316482700000002</v>
      </c>
      <c r="H420" s="28">
        <v>52.001742</v>
      </c>
      <c r="I420" s="28">
        <v>35.676495899999999</v>
      </c>
      <c r="J420" s="28">
        <v>984.14926300000002</v>
      </c>
      <c r="K420" s="28">
        <v>947.80913799999996</v>
      </c>
      <c r="L420" s="28">
        <v>4.8935148899999996</v>
      </c>
      <c r="M420" s="28">
        <v>107.822502</v>
      </c>
      <c r="N420" s="28">
        <v>52.071314200000003</v>
      </c>
      <c r="O420" s="28">
        <v>979.47576900000001</v>
      </c>
      <c r="P420" s="28">
        <v>1020.52423</v>
      </c>
    </row>
    <row r="421" spans="1:16" x14ac:dyDescent="0.25">
      <c r="A421" s="40">
        <v>1</v>
      </c>
      <c r="B421" s="40">
        <v>167</v>
      </c>
      <c r="C421" s="28">
        <v>12.8967654</v>
      </c>
      <c r="D421" s="28">
        <v>6.3999163399999999</v>
      </c>
      <c r="E421" s="28">
        <v>30.868709800000001</v>
      </c>
      <c r="F421" s="28">
        <v>22.793123099999999</v>
      </c>
      <c r="G421" s="28">
        <v>18.070579200000001</v>
      </c>
      <c r="H421" s="28">
        <v>52.086399900000004</v>
      </c>
      <c r="I421" s="28">
        <v>35.522368299999997</v>
      </c>
      <c r="J421" s="28">
        <v>986.44069100000002</v>
      </c>
      <c r="K421" s="28">
        <v>945.41072299999996</v>
      </c>
      <c r="L421" s="28">
        <v>4.9063502799999998</v>
      </c>
      <c r="M421" s="28">
        <v>107.762556</v>
      </c>
      <c r="N421" s="28">
        <v>51.599808099999997</v>
      </c>
      <c r="O421" s="28">
        <v>982.04487500000005</v>
      </c>
      <c r="P421" s="28">
        <v>1017.9551300000001</v>
      </c>
    </row>
    <row r="422" spans="1:16" x14ac:dyDescent="0.25">
      <c r="A422" s="40">
        <v>1</v>
      </c>
      <c r="B422" s="40">
        <v>168</v>
      </c>
      <c r="C422" s="28">
        <v>12.9060591</v>
      </c>
      <c r="D422" s="28">
        <v>6.3572137599999996</v>
      </c>
      <c r="E422" s="28">
        <v>30.929923500000001</v>
      </c>
      <c r="F422" s="28">
        <v>22.842228200000001</v>
      </c>
      <c r="G422" s="28">
        <v>17.818609200000001</v>
      </c>
      <c r="H422" s="28">
        <v>52.5644651</v>
      </c>
      <c r="I422" s="28">
        <v>35.202888199999997</v>
      </c>
      <c r="J422" s="28">
        <v>987.03444500000001</v>
      </c>
      <c r="K422" s="28">
        <v>940.50669100000005</v>
      </c>
      <c r="L422" s="28">
        <v>4.9510508199999999</v>
      </c>
      <c r="M422" s="28">
        <v>107.318394</v>
      </c>
      <c r="N422" s="28">
        <v>52.3959337</v>
      </c>
      <c r="O422" s="28">
        <v>990.99204099999997</v>
      </c>
      <c r="P422" s="28">
        <v>1009.00796</v>
      </c>
    </row>
    <row r="423" spans="1:16" x14ac:dyDescent="0.25">
      <c r="A423" s="40">
        <v>1</v>
      </c>
      <c r="B423" s="40">
        <v>169</v>
      </c>
      <c r="C423" s="28">
        <v>12.905990299999999</v>
      </c>
      <c r="D423" s="28">
        <v>6.3639857099999997</v>
      </c>
      <c r="E423" s="28">
        <v>30.861416500000001</v>
      </c>
      <c r="F423" s="28">
        <v>22.880058099999999</v>
      </c>
      <c r="G423" s="28">
        <v>17.633601500000001</v>
      </c>
      <c r="H423" s="28">
        <v>53.214038000000002</v>
      </c>
      <c r="I423" s="28">
        <v>35.136043299999997</v>
      </c>
      <c r="J423" s="28">
        <v>989.66541600000005</v>
      </c>
      <c r="K423" s="28">
        <v>941.976584</v>
      </c>
      <c r="L423" s="28">
        <v>4.9840297800000002</v>
      </c>
      <c r="M423" s="28">
        <v>107.142121</v>
      </c>
      <c r="N423" s="28">
        <v>53.067588600000001</v>
      </c>
      <c r="O423" s="28">
        <v>997.59304099999997</v>
      </c>
      <c r="P423" s="28">
        <v>1002.40696</v>
      </c>
    </row>
    <row r="424" spans="1:16" x14ac:dyDescent="0.25">
      <c r="A424" s="40">
        <v>1</v>
      </c>
      <c r="B424" s="40">
        <v>170</v>
      </c>
      <c r="C424" s="28">
        <v>13.012782100000001</v>
      </c>
      <c r="D424" s="28">
        <v>6.3936173399999996</v>
      </c>
      <c r="E424" s="28">
        <v>30.7752014</v>
      </c>
      <c r="F424" s="28">
        <v>22.730448299999999</v>
      </c>
      <c r="G424" s="28">
        <v>17.500918899999999</v>
      </c>
      <c r="H424" s="28">
        <v>52.856800999999997</v>
      </c>
      <c r="I424" s="28">
        <v>35.055559899999999</v>
      </c>
      <c r="J424" s="28">
        <v>989.368515</v>
      </c>
      <c r="K424" s="28">
        <v>938.01803099999995</v>
      </c>
      <c r="L424" s="28">
        <v>5.0012836900000002</v>
      </c>
      <c r="M424" s="28">
        <v>106.690051</v>
      </c>
      <c r="N424" s="28">
        <v>53.377492099999998</v>
      </c>
      <c r="O424" s="28">
        <v>1001.04655</v>
      </c>
      <c r="P424" s="28">
        <v>998.95345099999997</v>
      </c>
    </row>
    <row r="425" spans="1:16" x14ac:dyDescent="0.25">
      <c r="A425" s="40">
        <v>1</v>
      </c>
      <c r="B425" s="40">
        <v>171</v>
      </c>
      <c r="C425" s="28">
        <v>13.082184</v>
      </c>
      <c r="D425" s="28">
        <v>6.4090771699999998</v>
      </c>
      <c r="E425" s="28">
        <v>30.788317299999999</v>
      </c>
      <c r="F425" s="28">
        <v>22.682467200000001</v>
      </c>
      <c r="G425" s="28">
        <v>17.580675599999999</v>
      </c>
      <c r="H425" s="28">
        <v>52.423384200000001</v>
      </c>
      <c r="I425" s="28">
        <v>34.799484300000003</v>
      </c>
      <c r="J425" s="28">
        <v>990.24383399999999</v>
      </c>
      <c r="K425" s="28">
        <v>939.91075999999998</v>
      </c>
      <c r="L425" s="28">
        <v>4.9848505400000001</v>
      </c>
      <c r="M425" s="28">
        <v>106.827519</v>
      </c>
      <c r="N425" s="28">
        <v>52.420321399999999</v>
      </c>
      <c r="O425" s="28">
        <v>997.75732300000004</v>
      </c>
      <c r="P425" s="28">
        <v>1002.24268</v>
      </c>
    </row>
    <row r="426" spans="1:16" x14ac:dyDescent="0.25">
      <c r="A426" s="40">
        <v>1</v>
      </c>
      <c r="B426" s="40">
        <v>172</v>
      </c>
      <c r="C426" s="28">
        <v>13.1520654</v>
      </c>
      <c r="D426" s="28">
        <v>6.4000210600000003</v>
      </c>
      <c r="E426" s="28">
        <v>30.886112099999998</v>
      </c>
      <c r="F426" s="28">
        <v>22.658462</v>
      </c>
      <c r="G426" s="28">
        <v>17.585252799999999</v>
      </c>
      <c r="H426" s="28">
        <v>52.007046699999997</v>
      </c>
      <c r="I426" s="28">
        <v>34.895045600000003</v>
      </c>
      <c r="J426" s="28">
        <v>989.24240099999997</v>
      </c>
      <c r="K426" s="28">
        <v>936.740049</v>
      </c>
      <c r="L426" s="28">
        <v>4.9742832799999999</v>
      </c>
      <c r="M426" s="28">
        <v>107.05949099999999</v>
      </c>
      <c r="N426" s="28">
        <v>52.775857999999999</v>
      </c>
      <c r="O426" s="28">
        <v>995.642202</v>
      </c>
      <c r="P426" s="28">
        <v>1004.3578</v>
      </c>
    </row>
    <row r="427" spans="1:16" x14ac:dyDescent="0.25">
      <c r="A427" s="40">
        <v>1</v>
      </c>
      <c r="B427" s="40">
        <v>173</v>
      </c>
      <c r="C427" s="28">
        <v>13.050929200000001</v>
      </c>
      <c r="D427" s="28">
        <v>6.3799061999999997</v>
      </c>
      <c r="E427" s="28">
        <v>30.9311285</v>
      </c>
      <c r="F427" s="28">
        <v>22.467873699999998</v>
      </c>
      <c r="G427" s="28">
        <v>17.5059249</v>
      </c>
      <c r="H427" s="28">
        <v>52.174705199999998</v>
      </c>
      <c r="I427" s="28">
        <v>34.848546200000001</v>
      </c>
      <c r="J427" s="28">
        <v>990.47694999999999</v>
      </c>
      <c r="K427" s="28">
        <v>933.08031400000004</v>
      </c>
      <c r="L427" s="28">
        <v>4.9472919500000003</v>
      </c>
      <c r="M427" s="28">
        <v>107.06034</v>
      </c>
      <c r="N427" s="28">
        <v>52.848083600000002</v>
      </c>
      <c r="O427" s="28">
        <v>990.23967400000004</v>
      </c>
      <c r="P427" s="28">
        <v>1009.76033</v>
      </c>
    </row>
    <row r="428" spans="1:16" x14ac:dyDescent="0.25">
      <c r="A428" s="40">
        <v>1</v>
      </c>
      <c r="B428" s="40">
        <v>174</v>
      </c>
      <c r="C428" s="28">
        <v>13.136131799999999</v>
      </c>
      <c r="D428" s="28">
        <v>6.42034547</v>
      </c>
      <c r="E428" s="28">
        <v>31.363015499999999</v>
      </c>
      <c r="F428" s="28">
        <v>22.6644027</v>
      </c>
      <c r="G428" s="28">
        <v>17.516364899999999</v>
      </c>
      <c r="H428" s="28">
        <v>52.299715300000003</v>
      </c>
      <c r="I428" s="28">
        <v>34.632384000000002</v>
      </c>
      <c r="J428" s="28">
        <v>989.25003800000002</v>
      </c>
      <c r="K428" s="28">
        <v>935.950692</v>
      </c>
      <c r="L428" s="28">
        <v>4.8986598399999997</v>
      </c>
      <c r="M428" s="28">
        <v>107.84216600000001</v>
      </c>
      <c r="N428" s="28">
        <v>51.756940200000003</v>
      </c>
      <c r="O428" s="28">
        <v>980.50557100000003</v>
      </c>
      <c r="P428" s="28">
        <v>1019.49443</v>
      </c>
    </row>
    <row r="429" spans="1:16" x14ac:dyDescent="0.25">
      <c r="A429" s="40">
        <v>1</v>
      </c>
      <c r="B429" s="40">
        <v>175</v>
      </c>
      <c r="C429" s="28">
        <v>13.0949776</v>
      </c>
      <c r="D429" s="28">
        <v>6.3766327599999997</v>
      </c>
      <c r="E429" s="28">
        <v>31.653504900000001</v>
      </c>
      <c r="F429" s="28">
        <v>22.632072699999998</v>
      </c>
      <c r="G429" s="28">
        <v>17.563807099999998</v>
      </c>
      <c r="H429" s="28">
        <v>52.725644199999998</v>
      </c>
      <c r="I429" s="28">
        <v>34.573780599999999</v>
      </c>
      <c r="J429" s="28">
        <v>990.11780799999997</v>
      </c>
      <c r="K429" s="28">
        <v>933.10999900000002</v>
      </c>
      <c r="L429" s="28">
        <v>4.9203010599999999</v>
      </c>
      <c r="M429" s="28">
        <v>107.884632</v>
      </c>
      <c r="N429" s="28">
        <v>50.848387799999998</v>
      </c>
      <c r="O429" s="28">
        <v>984.83723299999997</v>
      </c>
      <c r="P429" s="28">
        <v>1015.16277</v>
      </c>
    </row>
    <row r="430" spans="1:16" x14ac:dyDescent="0.25">
      <c r="A430" s="40">
        <v>1</v>
      </c>
      <c r="B430" s="40">
        <v>176</v>
      </c>
      <c r="C430" s="28">
        <v>13.201388100000001</v>
      </c>
      <c r="D430" s="28">
        <v>6.3526708699999999</v>
      </c>
      <c r="E430" s="28">
        <v>31.369517500000001</v>
      </c>
      <c r="F430" s="28">
        <v>22.667642600000001</v>
      </c>
      <c r="G430" s="28">
        <v>17.6899655</v>
      </c>
      <c r="H430" s="28">
        <v>52.817226900000001</v>
      </c>
      <c r="I430" s="28">
        <v>34.714791900000002</v>
      </c>
      <c r="J430" s="28">
        <v>989.562365</v>
      </c>
      <c r="K430" s="28">
        <v>933.71556499999997</v>
      </c>
      <c r="L430" s="28">
        <v>4.9281583299999996</v>
      </c>
      <c r="M430" s="28">
        <v>107.96217</v>
      </c>
      <c r="N430" s="28">
        <v>50.503861299999997</v>
      </c>
      <c r="O430" s="28">
        <v>986.40992800000004</v>
      </c>
      <c r="P430" s="28">
        <v>1013.59007</v>
      </c>
    </row>
    <row r="431" spans="1:16" x14ac:dyDescent="0.25">
      <c r="A431" s="40">
        <v>1</v>
      </c>
      <c r="B431" s="40">
        <v>177</v>
      </c>
      <c r="C431" s="28">
        <v>13.1788794</v>
      </c>
      <c r="D431" s="28">
        <v>6.30634227</v>
      </c>
      <c r="E431" s="28">
        <v>31.349813699999999</v>
      </c>
      <c r="F431" s="28">
        <v>22.3962237</v>
      </c>
      <c r="G431" s="28">
        <v>17.5527886</v>
      </c>
      <c r="H431" s="28">
        <v>52.771998699999997</v>
      </c>
      <c r="I431" s="28">
        <v>35.112276999999999</v>
      </c>
      <c r="J431" s="28">
        <v>991.35030800000004</v>
      </c>
      <c r="K431" s="28">
        <v>934.48862199999996</v>
      </c>
      <c r="L431" s="28">
        <v>4.9474395199999996</v>
      </c>
      <c r="M431" s="28">
        <v>107.739092</v>
      </c>
      <c r="N431" s="28">
        <v>50.472245999999998</v>
      </c>
      <c r="O431" s="28">
        <v>990.26921100000004</v>
      </c>
      <c r="P431" s="28">
        <v>1009.73079</v>
      </c>
    </row>
    <row r="432" spans="1:16" x14ac:dyDescent="0.25">
      <c r="A432" s="40">
        <v>1</v>
      </c>
      <c r="B432" s="40">
        <v>178</v>
      </c>
      <c r="C432" s="28">
        <v>13.3051368</v>
      </c>
      <c r="D432" s="28">
        <v>6.3130867899999998</v>
      </c>
      <c r="E432" s="28">
        <v>31.607641300000001</v>
      </c>
      <c r="F432" s="28">
        <v>22.5356396</v>
      </c>
      <c r="G432" s="28">
        <v>17.709208100000001</v>
      </c>
      <c r="H432" s="28">
        <v>52.720639400000003</v>
      </c>
      <c r="I432" s="28">
        <v>34.920168400000001</v>
      </c>
      <c r="J432" s="28">
        <v>989.89829599999996</v>
      </c>
      <c r="K432" s="28">
        <v>937.55438800000002</v>
      </c>
      <c r="L432" s="28">
        <v>4.9498879899999997</v>
      </c>
      <c r="M432" s="28">
        <v>107.994827</v>
      </c>
      <c r="N432" s="28">
        <v>50.288709799999999</v>
      </c>
      <c r="O432" s="28">
        <v>990.75929099999996</v>
      </c>
      <c r="P432" s="28">
        <v>1009.24071</v>
      </c>
    </row>
    <row r="433" spans="1:16" x14ac:dyDescent="0.25">
      <c r="A433" s="40">
        <v>1</v>
      </c>
      <c r="B433" s="40">
        <v>179</v>
      </c>
      <c r="C433" s="28">
        <v>13.2472628</v>
      </c>
      <c r="D433" s="28">
        <v>6.25590841</v>
      </c>
      <c r="E433" s="28">
        <v>31.539254100000001</v>
      </c>
      <c r="F433" s="28">
        <v>22.5662989</v>
      </c>
      <c r="G433" s="28">
        <v>17.852679599999998</v>
      </c>
      <c r="H433" s="28">
        <v>52.767694300000002</v>
      </c>
      <c r="I433" s="28">
        <v>35.181950200000003</v>
      </c>
      <c r="J433" s="28">
        <v>990.73516099999995</v>
      </c>
      <c r="K433" s="28">
        <v>932.97880599999996</v>
      </c>
      <c r="L433" s="28">
        <v>4.9845516700000001</v>
      </c>
      <c r="M433" s="28">
        <v>108.263803</v>
      </c>
      <c r="N433" s="28">
        <v>50.580569199999999</v>
      </c>
      <c r="O433" s="28">
        <v>997.69750099999999</v>
      </c>
      <c r="P433" s="28">
        <v>1002.3025</v>
      </c>
    </row>
    <row r="434" spans="1:16" x14ac:dyDescent="0.25">
      <c r="A434" s="40">
        <v>1</v>
      </c>
      <c r="B434" s="40">
        <v>180</v>
      </c>
      <c r="C434" s="28">
        <v>13.1938035</v>
      </c>
      <c r="D434" s="28">
        <v>6.1564305700000004</v>
      </c>
      <c r="E434" s="28">
        <v>31.673613499999998</v>
      </c>
      <c r="F434" s="28">
        <v>22.518904200000001</v>
      </c>
      <c r="G434" s="28">
        <v>17.794567499999999</v>
      </c>
      <c r="H434" s="28">
        <v>52.807077999999997</v>
      </c>
      <c r="I434" s="28">
        <v>34.700628799999997</v>
      </c>
      <c r="J434" s="28">
        <v>990.20922399999995</v>
      </c>
      <c r="K434" s="28">
        <v>933.37244499999997</v>
      </c>
      <c r="L434" s="28">
        <v>4.9907341199999999</v>
      </c>
      <c r="M434" s="28">
        <v>107.66346299999999</v>
      </c>
      <c r="N434" s="28">
        <v>50.003617200000001</v>
      </c>
      <c r="O434" s="28">
        <v>998.93496800000003</v>
      </c>
      <c r="P434" s="28">
        <v>1001.06503</v>
      </c>
    </row>
    <row r="435" spans="1:16" x14ac:dyDescent="0.25">
      <c r="A435" s="40">
        <v>1</v>
      </c>
      <c r="B435" s="40">
        <v>181</v>
      </c>
      <c r="C435" s="28">
        <v>13.1710905</v>
      </c>
      <c r="D435" s="28">
        <v>6.1821872899999999</v>
      </c>
      <c r="E435" s="28">
        <v>31.919924699999999</v>
      </c>
      <c r="F435" s="28">
        <v>22.705351700000001</v>
      </c>
      <c r="G435" s="28">
        <v>18.148549200000001</v>
      </c>
      <c r="H435" s="28">
        <v>52.457000299999997</v>
      </c>
      <c r="I435" s="28">
        <v>34.878104700000002</v>
      </c>
      <c r="J435" s="28">
        <v>989.33897999999999</v>
      </c>
      <c r="K435" s="28">
        <v>942.93678999999997</v>
      </c>
      <c r="L435" s="28">
        <v>4.9688772500000002</v>
      </c>
      <c r="M435" s="28">
        <v>108.18131700000001</v>
      </c>
      <c r="N435" s="28">
        <v>49.793591999999997</v>
      </c>
      <c r="O435" s="28">
        <v>994.56014300000004</v>
      </c>
      <c r="P435" s="28">
        <v>1005.43986</v>
      </c>
    </row>
    <row r="436" spans="1:16" x14ac:dyDescent="0.25">
      <c r="A436" s="40">
        <v>1</v>
      </c>
      <c r="B436" s="40">
        <v>182</v>
      </c>
      <c r="C436" s="28">
        <v>13.1789284</v>
      </c>
      <c r="D436" s="28">
        <v>6.2227313300000002</v>
      </c>
      <c r="E436" s="28">
        <v>32.118771199999998</v>
      </c>
      <c r="F436" s="28">
        <v>22.793149</v>
      </c>
      <c r="G436" s="28">
        <v>18.088599500000001</v>
      </c>
      <c r="H436" s="28">
        <v>52.665699099999998</v>
      </c>
      <c r="I436" s="28">
        <v>34.915168799999996</v>
      </c>
      <c r="J436" s="28">
        <v>988.57744300000002</v>
      </c>
      <c r="K436" s="28">
        <v>940.58996400000001</v>
      </c>
      <c r="L436" s="28">
        <v>4.9757256500000002</v>
      </c>
      <c r="M436" s="28">
        <v>108.49504899999999</v>
      </c>
      <c r="N436" s="28">
        <v>50.329311599999997</v>
      </c>
      <c r="O436" s="28">
        <v>995.93090500000005</v>
      </c>
      <c r="P436" s="28">
        <v>1004.0691</v>
      </c>
    </row>
    <row r="437" spans="1:16" x14ac:dyDescent="0.25">
      <c r="A437" s="40">
        <v>1</v>
      </c>
      <c r="B437" s="40">
        <v>183</v>
      </c>
      <c r="C437" s="28">
        <v>13.1576781</v>
      </c>
      <c r="D437" s="28">
        <v>6.2235041799999999</v>
      </c>
      <c r="E437" s="28">
        <v>32.171242800000002</v>
      </c>
      <c r="F437" s="28">
        <v>22.844553900000001</v>
      </c>
      <c r="G437" s="28">
        <v>18.2576164</v>
      </c>
      <c r="H437" s="28">
        <v>53.029761200000003</v>
      </c>
      <c r="I437" s="28">
        <v>34.640535</v>
      </c>
      <c r="J437" s="28">
        <v>989.05315399999995</v>
      </c>
      <c r="K437" s="28">
        <v>944.70300099999997</v>
      </c>
      <c r="L437" s="28">
        <v>4.9450568199999996</v>
      </c>
      <c r="M437" s="28">
        <v>108.881423</v>
      </c>
      <c r="N437" s="28">
        <v>50.617653699999998</v>
      </c>
      <c r="O437" s="28">
        <v>989.79229599999996</v>
      </c>
      <c r="P437" s="28">
        <v>1010.2077</v>
      </c>
    </row>
    <row r="438" spans="1:16" x14ac:dyDescent="0.25">
      <c r="A438" s="40">
        <v>1</v>
      </c>
      <c r="B438" s="40">
        <v>184</v>
      </c>
      <c r="C438" s="28">
        <v>13.2348587</v>
      </c>
      <c r="D438" s="28">
        <v>6.2320622600000002</v>
      </c>
      <c r="E438" s="28">
        <v>32.125276900000003</v>
      </c>
      <c r="F438" s="28">
        <v>22.843195699999999</v>
      </c>
      <c r="G438" s="28">
        <v>18.549927700000001</v>
      </c>
      <c r="H438" s="28">
        <v>53.720222700000001</v>
      </c>
      <c r="I438" s="28">
        <v>35.042520799999998</v>
      </c>
      <c r="J438" s="28">
        <v>987.52474500000005</v>
      </c>
      <c r="K438" s="28">
        <v>945.32492100000002</v>
      </c>
      <c r="L438" s="28">
        <v>5.0364454800000003</v>
      </c>
      <c r="M438" s="28">
        <v>109.564567</v>
      </c>
      <c r="N438" s="28">
        <v>50.288338000000003</v>
      </c>
      <c r="O438" s="28">
        <v>1008.08446</v>
      </c>
      <c r="P438" s="28">
        <v>991.91554099999996</v>
      </c>
    </row>
    <row r="439" spans="1:16" x14ac:dyDescent="0.25">
      <c r="A439" s="40">
        <v>1</v>
      </c>
      <c r="B439" s="40">
        <v>185</v>
      </c>
      <c r="C439" s="28">
        <v>13.3083559</v>
      </c>
      <c r="D439" s="28">
        <v>6.2569725500000004</v>
      </c>
      <c r="E439" s="28">
        <v>32.311916799999999</v>
      </c>
      <c r="F439" s="28">
        <v>22.8528412</v>
      </c>
      <c r="G439" s="28">
        <v>18.3465864</v>
      </c>
      <c r="H439" s="28">
        <v>53.1112149</v>
      </c>
      <c r="I439" s="28">
        <v>34.5190932</v>
      </c>
      <c r="J439" s="28">
        <v>989.25941599999999</v>
      </c>
      <c r="K439" s="28">
        <v>949.53355899999997</v>
      </c>
      <c r="L439" s="28">
        <v>5.0043907900000004</v>
      </c>
      <c r="M439" s="28">
        <v>109.447267</v>
      </c>
      <c r="N439" s="28">
        <v>49.957517699999997</v>
      </c>
      <c r="O439" s="28">
        <v>1001.66846</v>
      </c>
      <c r="P439" s="28">
        <v>998.33154000000002</v>
      </c>
    </row>
    <row r="440" spans="1:16" x14ac:dyDescent="0.25">
      <c r="A440" s="40">
        <v>1</v>
      </c>
      <c r="B440" s="40">
        <v>186</v>
      </c>
      <c r="C440" s="28">
        <v>13.349769500000001</v>
      </c>
      <c r="D440" s="28">
        <v>6.2302371599999997</v>
      </c>
      <c r="E440" s="28">
        <v>32.133958300000003</v>
      </c>
      <c r="F440" s="28">
        <v>22.674365399999999</v>
      </c>
      <c r="G440" s="28">
        <v>18.4930685</v>
      </c>
      <c r="H440" s="28">
        <v>53.562902299999998</v>
      </c>
      <c r="I440" s="28">
        <v>34.408131300000001</v>
      </c>
      <c r="J440" s="28">
        <v>988.32684800000004</v>
      </c>
      <c r="K440" s="28">
        <v>953.39524300000005</v>
      </c>
      <c r="L440" s="28">
        <v>5.0482218300000001</v>
      </c>
      <c r="M440" s="28">
        <v>109.33629999999999</v>
      </c>
      <c r="N440" s="28">
        <v>50.660062799999999</v>
      </c>
      <c r="O440" s="28">
        <v>1010.44159</v>
      </c>
      <c r="P440" s="28">
        <v>989.55841099999998</v>
      </c>
    </row>
    <row r="441" spans="1:16" x14ac:dyDescent="0.25">
      <c r="A441" s="40">
        <v>1</v>
      </c>
      <c r="B441" s="40">
        <v>187</v>
      </c>
      <c r="C441" s="28">
        <v>13.2830639</v>
      </c>
      <c r="D441" s="28">
        <v>6.2278927599999996</v>
      </c>
      <c r="E441" s="28">
        <v>32.354115399999998</v>
      </c>
      <c r="F441" s="28">
        <v>22.519758199999998</v>
      </c>
      <c r="G441" s="28">
        <v>18.5910738</v>
      </c>
      <c r="H441" s="28">
        <v>53.319194600000003</v>
      </c>
      <c r="I441" s="28">
        <v>34.579309799999997</v>
      </c>
      <c r="J441" s="28">
        <v>988.25957300000005</v>
      </c>
      <c r="K441" s="28">
        <v>948.84749899999997</v>
      </c>
      <c r="L441" s="28">
        <v>5.0310780299999998</v>
      </c>
      <c r="M441" s="28">
        <v>109.374939</v>
      </c>
      <c r="N441" s="28">
        <v>49.928823600000001</v>
      </c>
      <c r="O441" s="28">
        <v>1007.01012</v>
      </c>
      <c r="P441" s="28">
        <v>992.98987799999998</v>
      </c>
    </row>
    <row r="442" spans="1:16" x14ac:dyDescent="0.25">
      <c r="A442" s="40">
        <v>1</v>
      </c>
      <c r="B442" s="40">
        <v>188</v>
      </c>
      <c r="C442" s="28">
        <v>13.2523999</v>
      </c>
      <c r="D442" s="28">
        <v>6.2272273299999998</v>
      </c>
      <c r="E442" s="28">
        <v>32.380075699999999</v>
      </c>
      <c r="F442" s="28">
        <v>22.658148600000001</v>
      </c>
      <c r="G442" s="28">
        <v>18.6413194</v>
      </c>
      <c r="H442" s="28">
        <v>53.511051199999997</v>
      </c>
      <c r="I442" s="28">
        <v>34.419380799999999</v>
      </c>
      <c r="J442" s="28">
        <v>987.446236</v>
      </c>
      <c r="K442" s="28">
        <v>946.04907500000002</v>
      </c>
      <c r="L442" s="28">
        <v>5.0636246399999996</v>
      </c>
      <c r="M442" s="28">
        <v>109.616675</v>
      </c>
      <c r="N442" s="28">
        <v>49.892170399999998</v>
      </c>
      <c r="O442" s="28">
        <v>1013.52458</v>
      </c>
      <c r="P442" s="28">
        <v>986.47541699999999</v>
      </c>
    </row>
    <row r="443" spans="1:16" x14ac:dyDescent="0.25">
      <c r="A443" s="40">
        <v>1</v>
      </c>
      <c r="B443" s="40">
        <v>189</v>
      </c>
      <c r="C443" s="28">
        <v>13.1227634</v>
      </c>
      <c r="D443" s="28">
        <v>6.2180621699999996</v>
      </c>
      <c r="E443" s="28">
        <v>32.258428299999999</v>
      </c>
      <c r="F443" s="28">
        <v>22.450946399999999</v>
      </c>
      <c r="G443" s="28">
        <v>18.6792883</v>
      </c>
      <c r="H443" s="28">
        <v>53.680394999999997</v>
      </c>
      <c r="I443" s="28">
        <v>34.699845099999997</v>
      </c>
      <c r="J443" s="28">
        <v>988.03970300000003</v>
      </c>
      <c r="K443" s="28">
        <v>945.758151</v>
      </c>
      <c r="L443" s="28">
        <v>5.0707733800000003</v>
      </c>
      <c r="M443" s="28">
        <v>109.359453</v>
      </c>
      <c r="N443" s="28">
        <v>49.2298726</v>
      </c>
      <c r="O443" s="28">
        <v>1014.95546</v>
      </c>
      <c r="P443" s="28">
        <v>985.04454099999998</v>
      </c>
    </row>
    <row r="444" spans="1:16" x14ac:dyDescent="0.25">
      <c r="A444" s="40">
        <v>1</v>
      </c>
      <c r="B444" s="40">
        <v>190</v>
      </c>
      <c r="C444" s="28">
        <v>13.2023668</v>
      </c>
      <c r="D444" s="28">
        <v>6.1883515600000001</v>
      </c>
      <c r="E444" s="28">
        <v>32.349118599999997</v>
      </c>
      <c r="F444" s="28">
        <v>22.534223900000001</v>
      </c>
      <c r="G444" s="28">
        <v>18.7471867</v>
      </c>
      <c r="H444" s="28">
        <v>53.106015300000003</v>
      </c>
      <c r="I444" s="28">
        <v>35.359391700000003</v>
      </c>
      <c r="J444" s="28">
        <v>987.42044499999997</v>
      </c>
      <c r="K444" s="28">
        <v>946.96583999999996</v>
      </c>
      <c r="L444" s="28">
        <v>5.0234886899999998</v>
      </c>
      <c r="M444" s="28">
        <v>109.659429</v>
      </c>
      <c r="N444" s="28">
        <v>49.124389700000002</v>
      </c>
      <c r="O444" s="28">
        <v>1005.4910599999999</v>
      </c>
      <c r="P444" s="28">
        <v>994.50894400000004</v>
      </c>
    </row>
    <row r="445" spans="1:16" x14ac:dyDescent="0.25">
      <c r="A445" s="40">
        <v>1</v>
      </c>
      <c r="B445" s="40">
        <v>191</v>
      </c>
      <c r="C445" s="28">
        <v>13.2169112</v>
      </c>
      <c r="D445" s="28">
        <v>6.24889691</v>
      </c>
      <c r="E445" s="28">
        <v>32.355749699999997</v>
      </c>
      <c r="F445" s="28">
        <v>22.441902899999999</v>
      </c>
      <c r="G445" s="28">
        <v>18.658337499999998</v>
      </c>
      <c r="H445" s="28">
        <v>53.222426300000002</v>
      </c>
      <c r="I445" s="28">
        <v>35.048665499999998</v>
      </c>
      <c r="J445" s="28">
        <v>988.61404600000003</v>
      </c>
      <c r="K445" s="28">
        <v>948.70447100000001</v>
      </c>
      <c r="L445" s="28">
        <v>5.07722111</v>
      </c>
      <c r="M445" s="28">
        <v>109.793633</v>
      </c>
      <c r="N445" s="28">
        <v>49.037009699999999</v>
      </c>
      <c r="O445" s="28">
        <v>1016.24602</v>
      </c>
      <c r="P445" s="28">
        <v>983.75397499999997</v>
      </c>
    </row>
    <row r="446" spans="1:16" x14ac:dyDescent="0.25">
      <c r="A446" s="40">
        <v>1</v>
      </c>
      <c r="B446" s="40">
        <v>192</v>
      </c>
      <c r="C446" s="28">
        <v>13.1832242</v>
      </c>
      <c r="D446" s="28">
        <v>6.30061348</v>
      </c>
      <c r="E446" s="28">
        <v>32.385188900000003</v>
      </c>
      <c r="F446" s="28">
        <v>22.500234899999999</v>
      </c>
      <c r="G446" s="28">
        <v>18.7359917</v>
      </c>
      <c r="H446" s="28">
        <v>53.635915199999999</v>
      </c>
      <c r="I446" s="28">
        <v>35.3454798</v>
      </c>
      <c r="J446" s="28">
        <v>987.54671800000006</v>
      </c>
      <c r="K446" s="28">
        <v>951.79237899999998</v>
      </c>
      <c r="L446" s="28">
        <v>5.0902671399999999</v>
      </c>
      <c r="M446" s="28">
        <v>110.58098200000001</v>
      </c>
      <c r="N446" s="28">
        <v>49.043016600000001</v>
      </c>
      <c r="O446" s="28">
        <v>1018.85729</v>
      </c>
      <c r="P446" s="28">
        <v>981.14270999999997</v>
      </c>
    </row>
    <row r="447" spans="1:16" x14ac:dyDescent="0.25">
      <c r="A447" s="40">
        <v>1</v>
      </c>
      <c r="B447" s="40">
        <v>193</v>
      </c>
      <c r="C447" s="28">
        <v>13.1657232</v>
      </c>
      <c r="D447" s="28">
        <v>6.2984628200000001</v>
      </c>
      <c r="E447" s="28">
        <v>32.294678699999999</v>
      </c>
      <c r="F447" s="28">
        <v>22.431050599999999</v>
      </c>
      <c r="G447" s="28">
        <v>18.895785</v>
      </c>
      <c r="H447" s="28">
        <v>53.792250299999999</v>
      </c>
      <c r="I447" s="28">
        <v>35.340663399999997</v>
      </c>
      <c r="J447" s="28">
        <v>988.03171999999995</v>
      </c>
      <c r="K447" s="28">
        <v>952.34398899999997</v>
      </c>
      <c r="L447" s="28">
        <v>5.1191110200000001</v>
      </c>
      <c r="M447" s="28">
        <v>110.63776900000001</v>
      </c>
      <c r="N447" s="28">
        <v>49.063156200000002</v>
      </c>
      <c r="O447" s="28">
        <v>1024.6306199999999</v>
      </c>
      <c r="P447" s="28">
        <v>975.36937799999998</v>
      </c>
    </row>
    <row r="448" spans="1:16" x14ac:dyDescent="0.25">
      <c r="A448" s="40">
        <v>1</v>
      </c>
      <c r="B448" s="40">
        <v>194</v>
      </c>
      <c r="C448" s="28">
        <v>13.139836900000001</v>
      </c>
      <c r="D448" s="28">
        <v>6.2481468600000003</v>
      </c>
      <c r="E448" s="28">
        <v>32.058053000000001</v>
      </c>
      <c r="F448" s="28">
        <v>22.344738100000001</v>
      </c>
      <c r="G448" s="28">
        <v>18.937734800000001</v>
      </c>
      <c r="H448" s="28">
        <v>53.162046599999996</v>
      </c>
      <c r="I448" s="28">
        <v>35.205285500000002</v>
      </c>
      <c r="J448" s="28">
        <v>987.40730499999995</v>
      </c>
      <c r="K448" s="28">
        <v>949.661742</v>
      </c>
      <c r="L448" s="28">
        <v>5.1595222200000004</v>
      </c>
      <c r="M448" s="28">
        <v>109.793526</v>
      </c>
      <c r="N448" s="28">
        <v>48.994900299999998</v>
      </c>
      <c r="O448" s="28">
        <v>1032.7192399999999</v>
      </c>
      <c r="P448" s="28">
        <v>967.28075699999999</v>
      </c>
    </row>
    <row r="449" spans="1:16" x14ac:dyDescent="0.25">
      <c r="A449" s="40">
        <v>1</v>
      </c>
      <c r="B449" s="40">
        <v>195</v>
      </c>
      <c r="C449" s="28">
        <v>13.115047199999999</v>
      </c>
      <c r="D449" s="28">
        <v>6.2401394000000003</v>
      </c>
      <c r="E449" s="28">
        <v>32.041731900000002</v>
      </c>
      <c r="F449" s="28">
        <v>22.2124104</v>
      </c>
      <c r="G449" s="28">
        <v>18.752282999999998</v>
      </c>
      <c r="H449" s="28">
        <v>53.5375844</v>
      </c>
      <c r="I449" s="28">
        <v>34.936152499999999</v>
      </c>
      <c r="J449" s="28">
        <v>989.25432799999999</v>
      </c>
      <c r="K449" s="28">
        <v>954.65074300000003</v>
      </c>
      <c r="L449" s="28">
        <v>5.2387083099999998</v>
      </c>
      <c r="M449" s="28">
        <v>109.30919299999999</v>
      </c>
      <c r="N449" s="28">
        <v>49.328597500000001</v>
      </c>
      <c r="O449" s="28">
        <v>1048.56897</v>
      </c>
      <c r="P449" s="28">
        <v>951.43103399999995</v>
      </c>
    </row>
    <row r="450" spans="1:16" x14ac:dyDescent="0.25">
      <c r="A450" s="40">
        <v>1</v>
      </c>
      <c r="B450" s="40">
        <v>196</v>
      </c>
      <c r="C450" s="28">
        <v>13.1326643</v>
      </c>
      <c r="D450" s="28">
        <v>6.2655955800000003</v>
      </c>
      <c r="E450" s="28">
        <v>31.879307300000001</v>
      </c>
      <c r="F450" s="28">
        <v>22.332894899999999</v>
      </c>
      <c r="G450" s="28">
        <v>18.960958600000001</v>
      </c>
      <c r="H450" s="28">
        <v>53.4796859</v>
      </c>
      <c r="I450" s="28">
        <v>34.7966792</v>
      </c>
      <c r="J450" s="28">
        <v>988.03971000000001</v>
      </c>
      <c r="K450" s="28">
        <v>951.85872099999995</v>
      </c>
      <c r="L450" s="28">
        <v>5.2967647199999996</v>
      </c>
      <c r="M450" s="28">
        <v>109.40635</v>
      </c>
      <c r="N450" s="28">
        <v>49.291710899999998</v>
      </c>
      <c r="O450" s="28">
        <v>1060.1894199999999</v>
      </c>
      <c r="P450" s="28">
        <v>939.81058199999995</v>
      </c>
    </row>
    <row r="451" spans="1:16" x14ac:dyDescent="0.25">
      <c r="A451" s="40">
        <v>1</v>
      </c>
      <c r="B451" s="40">
        <v>197</v>
      </c>
      <c r="C451" s="28">
        <v>13.2163457</v>
      </c>
      <c r="D451" s="28">
        <v>6.23481007</v>
      </c>
      <c r="E451" s="28">
        <v>31.785005900000002</v>
      </c>
      <c r="F451" s="28">
        <v>21.9843923</v>
      </c>
      <c r="G451" s="28">
        <v>18.9847559</v>
      </c>
      <c r="H451" s="28">
        <v>53.174062300000003</v>
      </c>
      <c r="I451" s="28">
        <v>34.1130396</v>
      </c>
      <c r="J451" s="28">
        <v>988.94444199999998</v>
      </c>
      <c r="K451" s="28">
        <v>948.30286799999999</v>
      </c>
      <c r="L451" s="28">
        <v>5.3546376499999999</v>
      </c>
      <c r="M451" s="28">
        <v>108.861755</v>
      </c>
      <c r="N451" s="28">
        <v>49.427858100000002</v>
      </c>
      <c r="O451" s="28">
        <v>1071.77314</v>
      </c>
      <c r="P451" s="28">
        <v>928.226857</v>
      </c>
    </row>
    <row r="452" spans="1:16" x14ac:dyDescent="0.25">
      <c r="A452" s="40">
        <v>1</v>
      </c>
      <c r="B452" s="40">
        <v>198</v>
      </c>
      <c r="C452" s="28">
        <v>13.2058122</v>
      </c>
      <c r="D452" s="28">
        <v>6.2947448899999996</v>
      </c>
      <c r="E452" s="28">
        <v>32.004437600000003</v>
      </c>
      <c r="F452" s="28">
        <v>21.9178937</v>
      </c>
      <c r="G452" s="28">
        <v>18.764749699999999</v>
      </c>
      <c r="H452" s="28">
        <v>54.190954499999997</v>
      </c>
      <c r="I452" s="28">
        <v>34.1752501</v>
      </c>
      <c r="J452" s="28">
        <v>989.05494399999998</v>
      </c>
      <c r="K452" s="28">
        <v>947.52706799999999</v>
      </c>
      <c r="L452" s="28">
        <v>5.4072769899999997</v>
      </c>
      <c r="M452" s="28">
        <v>109.17440499999999</v>
      </c>
      <c r="N452" s="28">
        <v>48.8055296</v>
      </c>
      <c r="O452" s="28">
        <v>1082.3093200000001</v>
      </c>
      <c r="P452" s="28">
        <v>917.69067700000005</v>
      </c>
    </row>
    <row r="453" spans="1:16" x14ac:dyDescent="0.25">
      <c r="A453" s="40">
        <v>1</v>
      </c>
      <c r="B453" s="40">
        <v>199</v>
      </c>
      <c r="C453" s="28">
        <v>13.2453439</v>
      </c>
      <c r="D453" s="28">
        <v>6.31654275</v>
      </c>
      <c r="E453" s="28">
        <v>32.270401999999997</v>
      </c>
      <c r="F453" s="28">
        <v>21.8386143</v>
      </c>
      <c r="G453" s="28">
        <v>18.881518199999999</v>
      </c>
      <c r="H453" s="28">
        <v>54.433805900000003</v>
      </c>
      <c r="I453" s="28">
        <v>34.2632531</v>
      </c>
      <c r="J453" s="28">
        <v>989.25894000000005</v>
      </c>
      <c r="K453" s="28">
        <v>954.56703200000004</v>
      </c>
      <c r="L453" s="28">
        <v>5.3649562800000004</v>
      </c>
      <c r="M453" s="28">
        <v>109.380279</v>
      </c>
      <c r="N453" s="28">
        <v>48.6021012</v>
      </c>
      <c r="O453" s="28">
        <v>1073.8385000000001</v>
      </c>
      <c r="P453" s="28">
        <v>926.16150200000004</v>
      </c>
    </row>
    <row r="454" spans="1:16" x14ac:dyDescent="0.25">
      <c r="A454" s="40">
        <v>1</v>
      </c>
      <c r="B454" s="40">
        <v>200</v>
      </c>
      <c r="C454" s="28">
        <v>13.1580301</v>
      </c>
      <c r="D454" s="28">
        <v>6.2498151100000001</v>
      </c>
      <c r="E454" s="28">
        <v>32.191988700000003</v>
      </c>
      <c r="F454" s="28">
        <v>21.725303199999999</v>
      </c>
      <c r="G454" s="28">
        <v>18.9321217</v>
      </c>
      <c r="H454" s="28">
        <v>54.153752099999998</v>
      </c>
      <c r="I454" s="28">
        <v>33.741753899999999</v>
      </c>
      <c r="J454" s="28">
        <v>988.36060499999996</v>
      </c>
      <c r="K454" s="28">
        <v>951.03786400000001</v>
      </c>
      <c r="L454" s="28">
        <v>5.3631049199999996</v>
      </c>
      <c r="M454" s="28">
        <v>109.08351500000001</v>
      </c>
      <c r="N454" s="28">
        <v>48.5467558</v>
      </c>
      <c r="O454" s="28">
        <v>1073.46793</v>
      </c>
      <c r="P454" s="28">
        <v>926.53206599999999</v>
      </c>
    </row>
    <row r="455" spans="1:16" x14ac:dyDescent="0.25">
      <c r="A455" s="40">
        <v>1</v>
      </c>
      <c r="B455" s="40">
        <v>201</v>
      </c>
      <c r="C455" s="28">
        <v>13.1719697</v>
      </c>
      <c r="D455" s="28">
        <v>6.25092844</v>
      </c>
      <c r="E455" s="28">
        <v>32.121904499999999</v>
      </c>
      <c r="F455" s="28">
        <v>21.750830100000002</v>
      </c>
      <c r="G455" s="28">
        <v>19.0349769</v>
      </c>
      <c r="H455" s="28">
        <v>54.026872400000002</v>
      </c>
      <c r="I455" s="28">
        <v>33.793543499999998</v>
      </c>
      <c r="J455" s="28">
        <v>989.10638500000005</v>
      </c>
      <c r="K455" s="28">
        <v>956.46050600000001</v>
      </c>
      <c r="L455" s="28">
        <v>5.3318452499999998</v>
      </c>
      <c r="M455" s="28">
        <v>109.49288199999999</v>
      </c>
      <c r="N455" s="28">
        <v>48.068608300000001</v>
      </c>
      <c r="O455" s="28">
        <v>1067.2110600000001</v>
      </c>
      <c r="P455" s="28">
        <v>932.78893700000003</v>
      </c>
    </row>
    <row r="456" spans="1:16" x14ac:dyDescent="0.25">
      <c r="A456" s="40">
        <v>1</v>
      </c>
      <c r="B456" s="40">
        <v>202</v>
      </c>
      <c r="C456" s="28">
        <v>13.224017099999999</v>
      </c>
      <c r="D456" s="28">
        <v>6.2918356099999997</v>
      </c>
      <c r="E456" s="28">
        <v>31.792089000000001</v>
      </c>
      <c r="F456" s="28">
        <v>21.735328200000001</v>
      </c>
      <c r="G456" s="28">
        <v>18.985079500000001</v>
      </c>
      <c r="H456" s="28">
        <v>54.159430800000003</v>
      </c>
      <c r="I456" s="28">
        <v>33.670836899999998</v>
      </c>
      <c r="J456" s="28">
        <v>989.286922</v>
      </c>
      <c r="K456" s="28">
        <v>951.21351800000002</v>
      </c>
      <c r="L456" s="28">
        <v>5.3071120499999997</v>
      </c>
      <c r="M456" s="28">
        <v>109.378372</v>
      </c>
      <c r="N456" s="28">
        <v>48.6060503</v>
      </c>
      <c r="O456" s="28">
        <v>1062.26052</v>
      </c>
      <c r="P456" s="28">
        <v>937.73948199999995</v>
      </c>
    </row>
    <row r="457" spans="1:16" x14ac:dyDescent="0.25">
      <c r="A457" s="40">
        <v>1</v>
      </c>
      <c r="B457" s="40">
        <v>203</v>
      </c>
      <c r="C457" s="28">
        <v>13.1576837</v>
      </c>
      <c r="D457" s="28">
        <v>6.2931892600000001</v>
      </c>
      <c r="E457" s="28">
        <v>31.736862800000001</v>
      </c>
      <c r="F457" s="28">
        <v>21.9395588</v>
      </c>
      <c r="G457" s="28">
        <v>19.016594900000001</v>
      </c>
      <c r="H457" s="28">
        <v>53.978020399999998</v>
      </c>
      <c r="I457" s="28">
        <v>33.853707399999998</v>
      </c>
      <c r="J457" s="28">
        <v>990.25482499999998</v>
      </c>
      <c r="K457" s="28">
        <v>952.36657500000001</v>
      </c>
      <c r="L457" s="28">
        <v>5.2990170399999998</v>
      </c>
      <c r="M457" s="28">
        <v>109.289271</v>
      </c>
      <c r="N457" s="28">
        <v>48.243708599999998</v>
      </c>
      <c r="O457" s="28">
        <v>1060.6402399999999</v>
      </c>
      <c r="P457" s="28">
        <v>939.35976200000005</v>
      </c>
    </row>
    <row r="458" spans="1:16" x14ac:dyDescent="0.25">
      <c r="A458" s="40">
        <v>1</v>
      </c>
      <c r="B458" s="40">
        <v>204</v>
      </c>
      <c r="C458" s="28">
        <v>13.1902758</v>
      </c>
      <c r="D458" s="28">
        <v>6.3146122</v>
      </c>
      <c r="E458" s="28">
        <v>31.929484500000001</v>
      </c>
      <c r="F458" s="28">
        <v>21.8784773</v>
      </c>
      <c r="G458" s="28">
        <v>19.099073099999998</v>
      </c>
      <c r="H458" s="28">
        <v>53.741453399999997</v>
      </c>
      <c r="I458" s="28">
        <v>34.7026015</v>
      </c>
      <c r="J458" s="28">
        <v>989.079611</v>
      </c>
      <c r="K458" s="28">
        <v>949.81411700000001</v>
      </c>
      <c r="L458" s="28">
        <v>5.3069955799999997</v>
      </c>
      <c r="M458" s="28">
        <v>109.767274</v>
      </c>
      <c r="N458" s="28">
        <v>48.039818699999998</v>
      </c>
      <c r="O458" s="28">
        <v>1062.23721</v>
      </c>
      <c r="P458" s="28">
        <v>937.76279399999999</v>
      </c>
    </row>
    <row r="459" spans="1:16" x14ac:dyDescent="0.25">
      <c r="A459" s="40">
        <v>1</v>
      </c>
      <c r="B459" s="40">
        <v>205</v>
      </c>
      <c r="C459" s="28">
        <v>13.2419519</v>
      </c>
      <c r="D459" s="28">
        <v>6.3384038399999998</v>
      </c>
      <c r="E459" s="28">
        <v>31.919994299999999</v>
      </c>
      <c r="F459" s="28">
        <v>22.093491</v>
      </c>
      <c r="G459" s="28">
        <v>19.430754700000001</v>
      </c>
      <c r="H459" s="28">
        <v>54.129528299999997</v>
      </c>
      <c r="I459" s="28">
        <v>35.009816100000002</v>
      </c>
      <c r="J459" s="28">
        <v>989.13560900000004</v>
      </c>
      <c r="K459" s="28">
        <v>954.71732199999997</v>
      </c>
      <c r="L459" s="28">
        <v>5.3528522000000001</v>
      </c>
      <c r="M459" s="28">
        <v>110.565934</v>
      </c>
      <c r="N459" s="28">
        <v>49.108631199999998</v>
      </c>
      <c r="O459" s="28">
        <v>1071.4157700000001</v>
      </c>
      <c r="P459" s="28">
        <v>928.58423000000005</v>
      </c>
    </row>
    <row r="460" spans="1:16" x14ac:dyDescent="0.25">
      <c r="A460" s="40">
        <v>1</v>
      </c>
      <c r="B460" s="40">
        <v>206</v>
      </c>
      <c r="C460" s="28">
        <v>13.173379799999999</v>
      </c>
      <c r="D460" s="28">
        <v>6.30809351</v>
      </c>
      <c r="E460" s="28">
        <v>31.839387899999998</v>
      </c>
      <c r="F460" s="28">
        <v>22.1469022</v>
      </c>
      <c r="G460" s="28">
        <v>19.307988699999999</v>
      </c>
      <c r="H460" s="28">
        <v>54.194976500000003</v>
      </c>
      <c r="I460" s="28">
        <v>34.766911299999997</v>
      </c>
      <c r="J460" s="28">
        <v>989.35681499999998</v>
      </c>
      <c r="K460" s="28">
        <v>952.91951400000005</v>
      </c>
      <c r="L460" s="28">
        <v>5.3783375199999996</v>
      </c>
      <c r="M460" s="28">
        <v>110.311711</v>
      </c>
      <c r="N460" s="28">
        <v>49.054470600000002</v>
      </c>
      <c r="O460" s="28">
        <v>1076.51686</v>
      </c>
      <c r="P460" s="28">
        <v>923.48314200000004</v>
      </c>
    </row>
    <row r="461" spans="1:16" x14ac:dyDescent="0.25">
      <c r="A461" s="40">
        <v>1</v>
      </c>
      <c r="B461" s="40">
        <v>207</v>
      </c>
      <c r="C461" s="28">
        <v>13.1768147</v>
      </c>
      <c r="D461" s="28">
        <v>6.2847701499999999</v>
      </c>
      <c r="E461" s="28">
        <v>31.8337042</v>
      </c>
      <c r="F461" s="28">
        <v>22.185169900000002</v>
      </c>
      <c r="G461" s="28">
        <v>19.2643886</v>
      </c>
      <c r="H461" s="28">
        <v>53.9245071</v>
      </c>
      <c r="I461" s="28">
        <v>35.104098200000003</v>
      </c>
      <c r="J461" s="28">
        <v>990.59977000000003</v>
      </c>
      <c r="K461" s="28">
        <v>949.30947200000003</v>
      </c>
      <c r="L461" s="28">
        <v>5.3598548700000004</v>
      </c>
      <c r="M461" s="28">
        <v>110.41429599999999</v>
      </c>
      <c r="N461" s="28">
        <v>49.134554399999999</v>
      </c>
      <c r="O461" s="28">
        <v>1072.8174100000001</v>
      </c>
      <c r="P461" s="28">
        <v>927.18259</v>
      </c>
    </row>
    <row r="462" spans="1:16" x14ac:dyDescent="0.25">
      <c r="A462" s="40">
        <v>1</v>
      </c>
      <c r="B462" s="40">
        <v>208</v>
      </c>
      <c r="C462" s="28">
        <v>13.289733399999999</v>
      </c>
      <c r="D462" s="28">
        <v>6.2780249399999999</v>
      </c>
      <c r="E462" s="28">
        <v>31.746634100000001</v>
      </c>
      <c r="F462" s="28">
        <v>22.112393099999998</v>
      </c>
      <c r="G462" s="28">
        <v>19.212850799999998</v>
      </c>
      <c r="H462" s="28">
        <v>53.417311599999998</v>
      </c>
      <c r="I462" s="28">
        <v>34.989778100000002</v>
      </c>
      <c r="J462" s="28">
        <v>990.64502300000004</v>
      </c>
      <c r="K462" s="28">
        <v>948.78175899999997</v>
      </c>
      <c r="L462" s="28">
        <v>5.3432464099999999</v>
      </c>
      <c r="M462" s="28">
        <v>110.508979</v>
      </c>
      <c r="N462" s="28">
        <v>49.360984600000002</v>
      </c>
      <c r="O462" s="28">
        <v>1069.4930999999999</v>
      </c>
      <c r="P462" s="28">
        <v>930.50690399999996</v>
      </c>
    </row>
    <row r="463" spans="1:16" x14ac:dyDescent="0.25">
      <c r="A463" s="40">
        <v>1</v>
      </c>
      <c r="B463" s="40">
        <v>209</v>
      </c>
      <c r="C463" s="28">
        <v>13.1859587</v>
      </c>
      <c r="D463" s="28">
        <v>6.2991598299999998</v>
      </c>
      <c r="E463" s="28">
        <v>31.612090999999999</v>
      </c>
      <c r="F463" s="28">
        <v>21.974878700000001</v>
      </c>
      <c r="G463" s="28">
        <v>19.353900200000002</v>
      </c>
      <c r="H463" s="28">
        <v>53.296732300000002</v>
      </c>
      <c r="I463" s="28">
        <v>35.499466400000003</v>
      </c>
      <c r="J463" s="28">
        <v>990.466452</v>
      </c>
      <c r="K463" s="28">
        <v>943.806466</v>
      </c>
      <c r="L463" s="28">
        <v>5.3538607999999996</v>
      </c>
      <c r="M463" s="28">
        <v>110.561363</v>
      </c>
      <c r="N463" s="28">
        <v>49.290353199999998</v>
      </c>
      <c r="O463" s="28">
        <v>1071.6176499999999</v>
      </c>
      <c r="P463" s="28">
        <v>928.38234999999997</v>
      </c>
    </row>
    <row r="464" spans="1:16" x14ac:dyDescent="0.25">
      <c r="A464" s="40">
        <v>1</v>
      </c>
      <c r="B464" s="40">
        <v>210</v>
      </c>
      <c r="C464" s="28">
        <v>13.1250029</v>
      </c>
      <c r="D464" s="28">
        <v>6.3098895199999996</v>
      </c>
      <c r="E464" s="28">
        <v>31.6962571</v>
      </c>
      <c r="F464" s="28">
        <v>21.9190364</v>
      </c>
      <c r="G464" s="28">
        <v>19.481228999999999</v>
      </c>
      <c r="H464" s="28">
        <v>52.983426299999998</v>
      </c>
      <c r="I464" s="28">
        <v>35.463065100000001</v>
      </c>
      <c r="J464" s="28">
        <v>988.93113500000004</v>
      </c>
      <c r="K464" s="28">
        <v>939.00682700000004</v>
      </c>
      <c r="L464" s="28">
        <v>5.3426114499999997</v>
      </c>
      <c r="M464" s="28">
        <v>110.56813</v>
      </c>
      <c r="N464" s="28">
        <v>48.671930400000001</v>
      </c>
      <c r="O464" s="28">
        <v>1069.366</v>
      </c>
      <c r="P464" s="28">
        <v>930.63399700000002</v>
      </c>
    </row>
    <row r="465" spans="1:16" x14ac:dyDescent="0.25">
      <c r="A465" s="40">
        <v>1</v>
      </c>
      <c r="B465" s="40">
        <v>211</v>
      </c>
      <c r="C465" s="28">
        <v>13.166067999999999</v>
      </c>
      <c r="D465" s="28">
        <v>6.2939538400000004</v>
      </c>
      <c r="E465" s="28">
        <v>31.588745899999999</v>
      </c>
      <c r="F465" s="28">
        <v>21.8588475</v>
      </c>
      <c r="G465" s="28">
        <v>19.369147999999999</v>
      </c>
      <c r="H465" s="28">
        <v>52.649055099999998</v>
      </c>
      <c r="I465" s="28">
        <v>35.2951099</v>
      </c>
      <c r="J465" s="28">
        <v>990.44911400000001</v>
      </c>
      <c r="K465" s="28">
        <v>940.84790199999998</v>
      </c>
      <c r="L465" s="28">
        <v>5.3020469300000004</v>
      </c>
      <c r="M465" s="28">
        <v>110.204983</v>
      </c>
      <c r="N465" s="28">
        <v>49.226489999999998</v>
      </c>
      <c r="O465" s="28">
        <v>1061.2466899999999</v>
      </c>
      <c r="P465" s="28">
        <v>938.75330699999995</v>
      </c>
    </row>
    <row r="466" spans="1:16" x14ac:dyDescent="0.25">
      <c r="A466" s="40">
        <v>1</v>
      </c>
      <c r="B466" s="40">
        <v>212</v>
      </c>
      <c r="C466" s="28">
        <v>13.137816600000001</v>
      </c>
      <c r="D466" s="28">
        <v>6.2989059699999999</v>
      </c>
      <c r="E466" s="28">
        <v>31.588290799999999</v>
      </c>
      <c r="F466" s="28">
        <v>21.805391199999999</v>
      </c>
      <c r="G466" s="28">
        <v>19.4417768</v>
      </c>
      <c r="H466" s="28">
        <v>52.597271999999997</v>
      </c>
      <c r="I466" s="28">
        <v>35.024457200000001</v>
      </c>
      <c r="J466" s="28">
        <v>989.49499600000001</v>
      </c>
      <c r="K466" s="28">
        <v>939.68843700000002</v>
      </c>
      <c r="L466" s="28">
        <v>5.3408629400000001</v>
      </c>
      <c r="M466" s="28">
        <v>110.184843</v>
      </c>
      <c r="N466" s="28">
        <v>49.268591399999998</v>
      </c>
      <c r="O466" s="28">
        <v>1069.01603</v>
      </c>
      <c r="P466" s="28">
        <v>930.98397399999999</v>
      </c>
    </row>
    <row r="467" spans="1:16" x14ac:dyDescent="0.25">
      <c r="A467" s="40">
        <v>1</v>
      </c>
      <c r="B467" s="40">
        <v>213</v>
      </c>
      <c r="C467" s="28">
        <v>13.128561899999999</v>
      </c>
      <c r="D467" s="28">
        <v>6.2725362599999999</v>
      </c>
      <c r="E467" s="28">
        <v>31.561856800000001</v>
      </c>
      <c r="F467" s="28">
        <v>21.899850199999999</v>
      </c>
      <c r="G467" s="28">
        <v>19.562129800000001</v>
      </c>
      <c r="H467" s="28">
        <v>52.796992500000002</v>
      </c>
      <c r="I467" s="28">
        <v>34.689912200000002</v>
      </c>
      <c r="J467" s="28">
        <v>990.14975800000002</v>
      </c>
      <c r="K467" s="28">
        <v>940.40026</v>
      </c>
      <c r="L467" s="28">
        <v>5.3171132700000001</v>
      </c>
      <c r="M467" s="28">
        <v>110.055667</v>
      </c>
      <c r="N467" s="28">
        <v>49.231759400000001</v>
      </c>
      <c r="O467" s="28">
        <v>1064.26234</v>
      </c>
      <c r="P467" s="28">
        <v>935.73765900000001</v>
      </c>
    </row>
    <row r="468" spans="1:16" x14ac:dyDescent="0.25">
      <c r="A468" s="40">
        <v>1</v>
      </c>
      <c r="B468" s="40">
        <v>214</v>
      </c>
      <c r="C468" s="28">
        <v>13.0923362</v>
      </c>
      <c r="D468" s="28">
        <v>6.2433205599999999</v>
      </c>
      <c r="E468" s="28">
        <v>31.565076000000001</v>
      </c>
      <c r="F468" s="28">
        <v>21.9497538</v>
      </c>
      <c r="G468" s="28">
        <v>19.460827500000001</v>
      </c>
      <c r="H468" s="28">
        <v>52.746283300000002</v>
      </c>
      <c r="I468" s="28">
        <v>34.589377900000002</v>
      </c>
      <c r="J468" s="28">
        <v>990.26589100000001</v>
      </c>
      <c r="K468" s="28">
        <v>938.15952800000002</v>
      </c>
      <c r="L468" s="28">
        <v>5.3224735399999998</v>
      </c>
      <c r="M468" s="28">
        <v>109.70581799999999</v>
      </c>
      <c r="N468" s="28">
        <v>49.159495499999998</v>
      </c>
      <c r="O468" s="28">
        <v>1065.3352400000001</v>
      </c>
      <c r="P468" s="28">
        <v>934.664759</v>
      </c>
    </row>
    <row r="469" spans="1:16" x14ac:dyDescent="0.25">
      <c r="A469" s="40">
        <v>1</v>
      </c>
      <c r="B469" s="40">
        <v>215</v>
      </c>
      <c r="C469" s="28">
        <v>13.013420099999999</v>
      </c>
      <c r="D469" s="28">
        <v>6.2445624899999999</v>
      </c>
      <c r="E469" s="28">
        <v>31.6619165</v>
      </c>
      <c r="F469" s="28">
        <v>22.0663114</v>
      </c>
      <c r="G469" s="28">
        <v>19.503910099999999</v>
      </c>
      <c r="H469" s="28">
        <v>52.96396</v>
      </c>
      <c r="I469" s="28">
        <v>35.000198300000001</v>
      </c>
      <c r="J469" s="28">
        <v>990.81508799999995</v>
      </c>
      <c r="K469" s="28">
        <v>942.89536499999997</v>
      </c>
      <c r="L469" s="28">
        <v>5.2985264000000001</v>
      </c>
      <c r="M469" s="28">
        <v>110.40563299999999</v>
      </c>
      <c r="N469" s="28">
        <v>49.578918399999999</v>
      </c>
      <c r="O469" s="28">
        <v>1060.5420300000001</v>
      </c>
      <c r="P469" s="28">
        <v>939.45796900000005</v>
      </c>
    </row>
    <row r="470" spans="1:16" x14ac:dyDescent="0.25">
      <c r="A470" s="40">
        <v>1</v>
      </c>
      <c r="B470" s="40">
        <v>216</v>
      </c>
      <c r="C470" s="28">
        <v>12.9340834</v>
      </c>
      <c r="D470" s="28">
        <v>6.2604161100000004</v>
      </c>
      <c r="E470" s="28">
        <v>31.987549300000001</v>
      </c>
      <c r="F470" s="28">
        <v>22.117595000000001</v>
      </c>
      <c r="G470" s="28">
        <v>19.392513399999999</v>
      </c>
      <c r="H470" s="28">
        <v>52.690171999999997</v>
      </c>
      <c r="I470" s="28">
        <v>34.441652499999996</v>
      </c>
      <c r="J470" s="28">
        <v>990.09418200000005</v>
      </c>
      <c r="K470" s="28">
        <v>938.47669199999996</v>
      </c>
      <c r="L470" s="28">
        <v>5.2087442900000003</v>
      </c>
      <c r="M470" s="28">
        <v>110.04411899999999</v>
      </c>
      <c r="N470" s="28">
        <v>49.078019900000001</v>
      </c>
      <c r="O470" s="28">
        <v>1042.57143</v>
      </c>
      <c r="P470" s="28">
        <v>957.42856800000004</v>
      </c>
    </row>
    <row r="471" spans="1:16" x14ac:dyDescent="0.25">
      <c r="A471" s="40">
        <v>1</v>
      </c>
      <c r="B471" s="40">
        <v>217</v>
      </c>
      <c r="C471" s="28">
        <v>12.8774324</v>
      </c>
      <c r="D471" s="28">
        <v>6.2647678600000001</v>
      </c>
      <c r="E471" s="28">
        <v>32.059175600000003</v>
      </c>
      <c r="F471" s="28">
        <v>22.158484600000001</v>
      </c>
      <c r="G471" s="28">
        <v>19.425482800000001</v>
      </c>
      <c r="H471" s="28">
        <v>53.349530399999999</v>
      </c>
      <c r="I471" s="28">
        <v>34.141047200000003</v>
      </c>
      <c r="J471" s="28">
        <v>990.75741700000003</v>
      </c>
      <c r="K471" s="28">
        <v>944.04833099999996</v>
      </c>
      <c r="L471" s="28">
        <v>5.2803000300000003</v>
      </c>
      <c r="M471" s="28">
        <v>110.30202199999999</v>
      </c>
      <c r="N471" s="28">
        <v>49.420502800000001</v>
      </c>
      <c r="O471" s="28">
        <v>1056.8938800000001</v>
      </c>
      <c r="P471" s="28">
        <v>943.10612200000003</v>
      </c>
    </row>
    <row r="472" spans="1:16" x14ac:dyDescent="0.25">
      <c r="A472" s="40">
        <v>1</v>
      </c>
      <c r="B472" s="40">
        <v>218</v>
      </c>
      <c r="C472" s="28">
        <v>12.809569700000001</v>
      </c>
      <c r="D472" s="28">
        <v>6.2615137699999996</v>
      </c>
      <c r="E472" s="28">
        <v>31.939608700000001</v>
      </c>
      <c r="F472" s="28">
        <v>22.315523200000001</v>
      </c>
      <c r="G472" s="28">
        <v>19.4411883</v>
      </c>
      <c r="H472" s="28">
        <v>53.387518399999998</v>
      </c>
      <c r="I472" s="28">
        <v>34.087239199999999</v>
      </c>
      <c r="J472" s="28">
        <v>990.56940299999997</v>
      </c>
      <c r="K472" s="28">
        <v>946.73220400000002</v>
      </c>
      <c r="L472" s="28">
        <v>5.3061245899999996</v>
      </c>
      <c r="M472" s="28">
        <v>110.313796</v>
      </c>
      <c r="N472" s="28">
        <v>49.234239500000001</v>
      </c>
      <c r="O472" s="28">
        <v>1062.06287</v>
      </c>
      <c r="P472" s="28">
        <v>937.93713000000002</v>
      </c>
    </row>
    <row r="473" spans="1:16" x14ac:dyDescent="0.25">
      <c r="A473" s="40">
        <v>1</v>
      </c>
      <c r="B473" s="40">
        <v>219</v>
      </c>
      <c r="C473" s="28">
        <v>12.8066254</v>
      </c>
      <c r="D473" s="28">
        <v>6.2762279300000001</v>
      </c>
      <c r="E473" s="28">
        <v>31.964325299999999</v>
      </c>
      <c r="F473" s="28">
        <v>22.2604279</v>
      </c>
      <c r="G473" s="28">
        <v>19.1949033</v>
      </c>
      <c r="H473" s="28">
        <v>53.1205079</v>
      </c>
      <c r="I473" s="28">
        <v>34.559510899999999</v>
      </c>
      <c r="J473" s="28">
        <v>992.23426900000004</v>
      </c>
      <c r="K473" s="28">
        <v>946.454207</v>
      </c>
      <c r="L473" s="28">
        <v>5.3183740999999998</v>
      </c>
      <c r="M473" s="28">
        <v>110.310607</v>
      </c>
      <c r="N473" s="28">
        <v>49.565678699999999</v>
      </c>
      <c r="O473" s="28">
        <v>1064.5147099999999</v>
      </c>
      <c r="P473" s="28">
        <v>935.48529499999995</v>
      </c>
    </row>
    <row r="474" spans="1:16" x14ac:dyDescent="0.25">
      <c r="A474" s="40">
        <v>1</v>
      </c>
      <c r="B474" s="40">
        <v>220</v>
      </c>
      <c r="C474" s="28">
        <v>12.872689100000001</v>
      </c>
      <c r="D474" s="28">
        <v>6.2764100899999997</v>
      </c>
      <c r="E474" s="28">
        <v>32.136636699999997</v>
      </c>
      <c r="F474" s="28">
        <v>22.0302601</v>
      </c>
      <c r="G474" s="28">
        <v>19.248305200000001</v>
      </c>
      <c r="H474" s="28">
        <v>52.300987300000003</v>
      </c>
      <c r="I474" s="28">
        <v>34.530375499999998</v>
      </c>
      <c r="J474" s="28">
        <v>991.079159</v>
      </c>
      <c r="K474" s="28">
        <v>948.17209700000001</v>
      </c>
      <c r="L474" s="28">
        <v>5.2807681300000002</v>
      </c>
      <c r="M474" s="28">
        <v>110.22508500000001</v>
      </c>
      <c r="N474" s="28">
        <v>49.856717099999997</v>
      </c>
      <c r="O474" s="28">
        <v>1056.98757</v>
      </c>
      <c r="P474" s="28">
        <v>943.012427</v>
      </c>
    </row>
    <row r="475" spans="1:16" x14ac:dyDescent="0.25">
      <c r="A475" s="40">
        <v>1</v>
      </c>
      <c r="B475" s="40">
        <v>221</v>
      </c>
      <c r="C475" s="28">
        <v>12.949814099999999</v>
      </c>
      <c r="D475" s="28">
        <v>6.3112688400000003</v>
      </c>
      <c r="E475" s="28">
        <v>32.264491200000002</v>
      </c>
      <c r="F475" s="28">
        <v>22.004676100000001</v>
      </c>
      <c r="G475" s="28">
        <v>19.315241799999999</v>
      </c>
      <c r="H475" s="28">
        <v>52.3323234</v>
      </c>
      <c r="I475" s="28">
        <v>34.596809499999999</v>
      </c>
      <c r="J475" s="28">
        <v>991.51433399999996</v>
      </c>
      <c r="K475" s="28">
        <v>947.556647</v>
      </c>
      <c r="L475" s="28">
        <v>5.2283233200000003</v>
      </c>
      <c r="M475" s="28">
        <v>110.48992699999999</v>
      </c>
      <c r="N475" s="28">
        <v>50.065342299999998</v>
      </c>
      <c r="O475" s="28">
        <v>1046.4903300000001</v>
      </c>
      <c r="P475" s="28">
        <v>953.50967000000003</v>
      </c>
    </row>
    <row r="476" spans="1:16" x14ac:dyDescent="0.25">
      <c r="A476" s="40">
        <v>1</v>
      </c>
      <c r="B476" s="40">
        <v>222</v>
      </c>
      <c r="C476" s="28">
        <v>12.9676347</v>
      </c>
      <c r="D476" s="28">
        <v>6.3539634600000001</v>
      </c>
      <c r="E476" s="28">
        <v>31.950338200000001</v>
      </c>
      <c r="F476" s="28">
        <v>22.0939531</v>
      </c>
      <c r="G476" s="28">
        <v>19.3638446</v>
      </c>
      <c r="H476" s="28">
        <v>52.858188800000001</v>
      </c>
      <c r="I476" s="28">
        <v>34.8552538</v>
      </c>
      <c r="J476" s="28">
        <v>991.75268300000005</v>
      </c>
      <c r="K476" s="28">
        <v>947.60165400000005</v>
      </c>
      <c r="L476" s="28">
        <v>5.2228964700000002</v>
      </c>
      <c r="M476" s="28">
        <v>110.74724399999999</v>
      </c>
      <c r="N476" s="28">
        <v>49.608580400000001</v>
      </c>
      <c r="O476" s="28">
        <v>1045.4041</v>
      </c>
      <c r="P476" s="28">
        <v>954.59589800000003</v>
      </c>
    </row>
    <row r="477" spans="1:16" x14ac:dyDescent="0.25">
      <c r="A477" s="40">
        <v>1</v>
      </c>
      <c r="B477" s="40">
        <v>223</v>
      </c>
      <c r="C477" s="28">
        <v>12.9781453</v>
      </c>
      <c r="D477" s="28">
        <v>6.3497882299999997</v>
      </c>
      <c r="E477" s="28">
        <v>31.865781999999999</v>
      </c>
      <c r="F477" s="28">
        <v>22.111619399999999</v>
      </c>
      <c r="G477" s="28">
        <v>19.409049599999999</v>
      </c>
      <c r="H477" s="28">
        <v>53.360183800000001</v>
      </c>
      <c r="I477" s="28">
        <v>35.334936900000002</v>
      </c>
      <c r="J477" s="28">
        <v>992.80895699999996</v>
      </c>
      <c r="K477" s="28">
        <v>947.12573299999997</v>
      </c>
      <c r="L477" s="28">
        <v>5.23677379</v>
      </c>
      <c r="M477" s="28">
        <v>111.092634</v>
      </c>
      <c r="N477" s="28">
        <v>50.112272599999997</v>
      </c>
      <c r="O477" s="28">
        <v>1048.1817599999999</v>
      </c>
      <c r="P477" s="28">
        <v>951.81824200000005</v>
      </c>
    </row>
    <row r="478" spans="1:16" x14ac:dyDescent="0.25">
      <c r="A478" s="40">
        <v>1</v>
      </c>
      <c r="B478" s="40">
        <v>224</v>
      </c>
      <c r="C478" s="28">
        <v>12.9246239</v>
      </c>
      <c r="D478" s="28">
        <v>6.3295849899999999</v>
      </c>
      <c r="E478" s="28">
        <v>31.698247800000001</v>
      </c>
      <c r="F478" s="28">
        <v>22.126447200000001</v>
      </c>
      <c r="G478" s="28">
        <v>19.463746100000002</v>
      </c>
      <c r="H478" s="28">
        <v>53.923355399999998</v>
      </c>
      <c r="I478" s="28">
        <v>35.606645700000001</v>
      </c>
      <c r="J478" s="28">
        <v>992.86481700000002</v>
      </c>
      <c r="K478" s="28">
        <v>948.48094900000001</v>
      </c>
      <c r="L478" s="28">
        <v>5.1996179800000002</v>
      </c>
      <c r="M478" s="28">
        <v>111.252212</v>
      </c>
      <c r="N478" s="28">
        <v>50.216378800000001</v>
      </c>
      <c r="O478" s="28">
        <v>1040.7447299999999</v>
      </c>
      <c r="P478" s="28">
        <v>959.25527299999999</v>
      </c>
    </row>
    <row r="479" spans="1:16" x14ac:dyDescent="0.25">
      <c r="A479" s="40">
        <v>1</v>
      </c>
      <c r="B479" s="40">
        <v>225</v>
      </c>
      <c r="C479" s="28">
        <v>12.907768799999999</v>
      </c>
      <c r="D479" s="28">
        <v>6.3462491600000002</v>
      </c>
      <c r="E479" s="28">
        <v>31.3963827</v>
      </c>
      <c r="F479" s="28">
        <v>22.225522699999999</v>
      </c>
      <c r="G479" s="28">
        <v>19.764193899999999</v>
      </c>
      <c r="H479" s="28">
        <v>53.921193799999998</v>
      </c>
      <c r="I479" s="28">
        <v>35.6305817</v>
      </c>
      <c r="J479" s="28">
        <v>992.74556900000005</v>
      </c>
      <c r="K479" s="28">
        <v>946.09995000000004</v>
      </c>
      <c r="L479" s="28">
        <v>5.1076390199999997</v>
      </c>
      <c r="M479" s="28">
        <v>111.410285</v>
      </c>
      <c r="N479" s="28">
        <v>48.873236599999998</v>
      </c>
      <c r="O479" s="28">
        <v>1022.33441</v>
      </c>
      <c r="P479" s="28">
        <v>977.66558999999995</v>
      </c>
    </row>
    <row r="480" spans="1:16" x14ac:dyDescent="0.25">
      <c r="A480" s="40">
        <v>1</v>
      </c>
      <c r="B480" s="40">
        <v>226</v>
      </c>
      <c r="C480" s="28">
        <v>12.907956799999999</v>
      </c>
      <c r="D480" s="28">
        <v>6.3924926199999996</v>
      </c>
      <c r="E480" s="28">
        <v>31.719743699999999</v>
      </c>
      <c r="F480" s="28">
        <v>22.3446006</v>
      </c>
      <c r="G480" s="28">
        <v>19.8000361</v>
      </c>
      <c r="H480" s="28">
        <v>53.933724099999999</v>
      </c>
      <c r="I480" s="28">
        <v>35.674358099999999</v>
      </c>
      <c r="J480" s="28">
        <v>991.96324500000003</v>
      </c>
      <c r="K480" s="28">
        <v>948.87512600000002</v>
      </c>
      <c r="L480" s="28">
        <v>5.1052635200000003</v>
      </c>
      <c r="M480" s="28">
        <v>111.922408</v>
      </c>
      <c r="N480" s="28">
        <v>49.275474799999998</v>
      </c>
      <c r="O480" s="28">
        <v>1021.85894</v>
      </c>
      <c r="P480" s="28">
        <v>978.14106400000003</v>
      </c>
    </row>
    <row r="481" spans="1:16" x14ac:dyDescent="0.25">
      <c r="A481" s="40">
        <v>1</v>
      </c>
      <c r="B481" s="40">
        <v>227</v>
      </c>
      <c r="C481" s="28">
        <v>12.839480200000001</v>
      </c>
      <c r="D481" s="28">
        <v>6.4137460500000003</v>
      </c>
      <c r="E481" s="28">
        <v>31.676274200000002</v>
      </c>
      <c r="F481" s="28">
        <v>22.338159999999998</v>
      </c>
      <c r="G481" s="28">
        <v>19.851134099999999</v>
      </c>
      <c r="H481" s="28">
        <v>54.526504899999999</v>
      </c>
      <c r="I481" s="28">
        <v>35.737747200000001</v>
      </c>
      <c r="J481" s="28">
        <v>992.44431299999997</v>
      </c>
      <c r="K481" s="28">
        <v>953.793498</v>
      </c>
      <c r="L481" s="28">
        <v>5.1074877399999998</v>
      </c>
      <c r="M481" s="28">
        <v>111.744348</v>
      </c>
      <c r="N481" s="28">
        <v>49.817757100000001</v>
      </c>
      <c r="O481" s="28">
        <v>1022.30413</v>
      </c>
      <c r="P481" s="28">
        <v>977.69587000000001</v>
      </c>
    </row>
    <row r="482" spans="1:16" x14ac:dyDescent="0.25">
      <c r="A482" s="40">
        <v>1</v>
      </c>
      <c r="B482" s="40">
        <v>228</v>
      </c>
      <c r="C482" s="28">
        <v>12.7974826</v>
      </c>
      <c r="D482" s="28">
        <v>6.4276202299999996</v>
      </c>
      <c r="E482" s="28">
        <v>31.5254549</v>
      </c>
      <c r="F482" s="28">
        <v>22.349899799999999</v>
      </c>
      <c r="G482" s="28">
        <v>19.844776</v>
      </c>
      <c r="H482" s="28">
        <v>55.291302700000003</v>
      </c>
      <c r="I482" s="28">
        <v>35.635593499999999</v>
      </c>
      <c r="J482" s="28">
        <v>992.68222000000003</v>
      </c>
      <c r="K482" s="28">
        <v>952.34129700000005</v>
      </c>
      <c r="L482" s="28">
        <v>5.1610731999999997</v>
      </c>
      <c r="M482" s="28">
        <v>111.904748</v>
      </c>
      <c r="N482" s="28">
        <v>49.474777000000003</v>
      </c>
      <c r="O482" s="28">
        <v>1033.0296800000001</v>
      </c>
      <c r="P482" s="28">
        <v>966.97031600000003</v>
      </c>
    </row>
    <row r="483" spans="1:16" x14ac:dyDescent="0.25">
      <c r="A483" s="40">
        <v>1</v>
      </c>
      <c r="B483" s="40">
        <v>229</v>
      </c>
      <c r="C483" s="28">
        <v>12.912905500000001</v>
      </c>
      <c r="D483" s="28">
        <v>6.3951459699999997</v>
      </c>
      <c r="E483" s="28">
        <v>31.3001404</v>
      </c>
      <c r="F483" s="28">
        <v>22.341977400000001</v>
      </c>
      <c r="G483" s="28">
        <v>20.0607626</v>
      </c>
      <c r="H483" s="28">
        <v>55.337776099999999</v>
      </c>
      <c r="I483" s="28">
        <v>35.682288800000002</v>
      </c>
      <c r="J483" s="28">
        <v>993.41037900000003</v>
      </c>
      <c r="K483" s="28">
        <v>952.73042299999997</v>
      </c>
      <c r="L483" s="28">
        <v>5.2509707800000003</v>
      </c>
      <c r="M483" s="28">
        <v>112.111571</v>
      </c>
      <c r="N483" s="28">
        <v>49.8555998</v>
      </c>
      <c r="O483" s="28">
        <v>1051.0234</v>
      </c>
      <c r="P483" s="28">
        <v>948.97660199999996</v>
      </c>
    </row>
    <row r="484" spans="1:16" x14ac:dyDescent="0.25">
      <c r="A484" s="40">
        <v>1</v>
      </c>
      <c r="B484" s="40">
        <v>230</v>
      </c>
      <c r="C484" s="28">
        <v>12.9120235</v>
      </c>
      <c r="D484" s="28">
        <v>6.4316779799999999</v>
      </c>
      <c r="E484" s="28">
        <v>31.0220208</v>
      </c>
      <c r="F484" s="28">
        <v>22.491416699999998</v>
      </c>
      <c r="G484" s="28">
        <v>20.041001699999999</v>
      </c>
      <c r="H484" s="28">
        <v>54.990069200000001</v>
      </c>
      <c r="I484" s="28">
        <v>35.744940499999998</v>
      </c>
      <c r="J484" s="28">
        <v>993.76644899999997</v>
      </c>
      <c r="K484" s="28">
        <v>955.42481399999997</v>
      </c>
      <c r="L484" s="28">
        <v>5.2293444899999999</v>
      </c>
      <c r="M484" s="28">
        <v>112.098702</v>
      </c>
      <c r="N484" s="28">
        <v>49.888469700000002</v>
      </c>
      <c r="O484" s="28">
        <v>1046.69472</v>
      </c>
      <c r="P484" s="28">
        <v>953.30527600000005</v>
      </c>
    </row>
    <row r="485" spans="1:16" x14ac:dyDescent="0.25">
      <c r="A485" s="40">
        <v>1</v>
      </c>
      <c r="B485" s="40">
        <v>231</v>
      </c>
      <c r="C485" s="28">
        <v>12.8551562</v>
      </c>
      <c r="D485" s="28">
        <v>6.4054872100000004</v>
      </c>
      <c r="E485" s="28">
        <v>31.0128895</v>
      </c>
      <c r="F485" s="28">
        <v>22.351220000000001</v>
      </c>
      <c r="G485" s="28">
        <v>19.988849399999999</v>
      </c>
      <c r="H485" s="28">
        <v>54.565537900000002</v>
      </c>
      <c r="I485" s="28">
        <v>35.525628599999997</v>
      </c>
      <c r="J485" s="28">
        <v>994.17518900000005</v>
      </c>
      <c r="K485" s="28">
        <v>955.14698099999998</v>
      </c>
      <c r="L485" s="28">
        <v>5.2633128999999998</v>
      </c>
      <c r="M485" s="28">
        <v>111.585258</v>
      </c>
      <c r="N485" s="28">
        <v>50.558614300000002</v>
      </c>
      <c r="O485" s="28">
        <v>1053.49377</v>
      </c>
      <c r="P485" s="28">
        <v>946.50622899999996</v>
      </c>
    </row>
    <row r="486" spans="1:16" x14ac:dyDescent="0.25">
      <c r="A486" s="40">
        <v>1</v>
      </c>
      <c r="B486" s="40">
        <v>232</v>
      </c>
      <c r="C486" s="28">
        <v>13.0491162</v>
      </c>
      <c r="D486" s="28">
        <v>6.3760338599999997</v>
      </c>
      <c r="E486" s="28">
        <v>30.807037699999999</v>
      </c>
      <c r="F486" s="28">
        <v>22.5129184</v>
      </c>
      <c r="G486" s="28">
        <v>20.244061299999998</v>
      </c>
      <c r="H486" s="28">
        <v>54.505938200000003</v>
      </c>
      <c r="I486" s="28">
        <v>35.731281199999998</v>
      </c>
      <c r="J486" s="28">
        <v>994.43566299999998</v>
      </c>
      <c r="K486" s="28">
        <v>954.50414799999999</v>
      </c>
      <c r="L486" s="28">
        <v>5.2385408699999996</v>
      </c>
      <c r="M486" s="28">
        <v>111.650555</v>
      </c>
      <c r="N486" s="28">
        <v>51.133403000000001</v>
      </c>
      <c r="O486" s="28">
        <v>1048.5354500000001</v>
      </c>
      <c r="P486" s="28">
        <v>951.46454700000004</v>
      </c>
    </row>
    <row r="487" spans="1:16" x14ac:dyDescent="0.25">
      <c r="A487" s="40">
        <v>1</v>
      </c>
      <c r="B487" s="40">
        <v>233</v>
      </c>
      <c r="C487" s="28">
        <v>13.0428832</v>
      </c>
      <c r="D487" s="28">
        <v>6.4091080900000001</v>
      </c>
      <c r="E487" s="28">
        <v>30.7407705</v>
      </c>
      <c r="F487" s="28">
        <v>22.667043799999998</v>
      </c>
      <c r="G487" s="28">
        <v>20.243406</v>
      </c>
      <c r="H487" s="28">
        <v>54.421936600000002</v>
      </c>
      <c r="I487" s="28">
        <v>35.877692000000003</v>
      </c>
      <c r="J487" s="28">
        <v>995.14669700000002</v>
      </c>
      <c r="K487" s="28">
        <v>948.72030199999995</v>
      </c>
      <c r="L487" s="28">
        <v>5.2211522099999996</v>
      </c>
      <c r="M487" s="28">
        <v>111.670976</v>
      </c>
      <c r="N487" s="28">
        <v>51.008535299999998</v>
      </c>
      <c r="O487" s="28">
        <v>1045.0549699999999</v>
      </c>
      <c r="P487" s="28">
        <v>954.94502599999998</v>
      </c>
    </row>
    <row r="488" spans="1:16" x14ac:dyDescent="0.25">
      <c r="A488" s="40">
        <v>1</v>
      </c>
      <c r="B488" s="40">
        <v>234</v>
      </c>
      <c r="C488" s="28">
        <v>13.0915815</v>
      </c>
      <c r="D488" s="28">
        <v>6.4330585300000003</v>
      </c>
      <c r="E488" s="28">
        <v>30.8754168</v>
      </c>
      <c r="F488" s="28">
        <v>22.7992299</v>
      </c>
      <c r="G488" s="28">
        <v>20.2433221</v>
      </c>
      <c r="H488" s="28">
        <v>54.943765900000002</v>
      </c>
      <c r="I488" s="28">
        <v>35.923607099999998</v>
      </c>
      <c r="J488" s="28">
        <v>995.429619</v>
      </c>
      <c r="K488" s="28">
        <v>953.37136099999998</v>
      </c>
      <c r="L488" s="28">
        <v>5.1863088700000004</v>
      </c>
      <c r="M488" s="28">
        <v>112.119415</v>
      </c>
      <c r="N488" s="28">
        <v>50.886397700000003</v>
      </c>
      <c r="O488" s="28">
        <v>1038.0808</v>
      </c>
      <c r="P488" s="28">
        <v>961.91919600000006</v>
      </c>
    </row>
    <row r="489" spans="1:16" x14ac:dyDescent="0.25">
      <c r="A489" s="40">
        <v>1</v>
      </c>
      <c r="B489" s="40">
        <v>235</v>
      </c>
      <c r="C489" s="28">
        <v>13.119381199999999</v>
      </c>
      <c r="D489" s="28">
        <v>6.3962525899999996</v>
      </c>
      <c r="E489" s="28">
        <v>30.720689</v>
      </c>
      <c r="F489" s="28">
        <v>22.957694199999999</v>
      </c>
      <c r="G489" s="28">
        <v>20.163035600000001</v>
      </c>
      <c r="H489" s="28">
        <v>55.005913</v>
      </c>
      <c r="I489" s="28">
        <v>35.442119499999997</v>
      </c>
      <c r="J489" s="28">
        <v>997.02644099999998</v>
      </c>
      <c r="K489" s="28">
        <v>955.47366599999998</v>
      </c>
      <c r="L489" s="28">
        <v>5.2053359300000004</v>
      </c>
      <c r="M489" s="28">
        <v>111.71438999999999</v>
      </c>
      <c r="N489" s="28">
        <v>51.6433198</v>
      </c>
      <c r="O489" s="28">
        <v>1041.88922</v>
      </c>
      <c r="P489" s="28">
        <v>958.11077999999998</v>
      </c>
    </row>
    <row r="490" spans="1:16" x14ac:dyDescent="0.25">
      <c r="A490" s="40">
        <v>1</v>
      </c>
      <c r="B490" s="40">
        <v>236</v>
      </c>
      <c r="C490" s="28">
        <v>13.1085119</v>
      </c>
      <c r="D490" s="28">
        <v>6.4380218300000003</v>
      </c>
      <c r="E490" s="28">
        <v>30.821621100000002</v>
      </c>
      <c r="F490" s="28">
        <v>22.642004499999999</v>
      </c>
      <c r="G490" s="28">
        <v>20.235175399999999</v>
      </c>
      <c r="H490" s="28">
        <v>54.581000699999997</v>
      </c>
      <c r="I490" s="28">
        <v>35.367083800000003</v>
      </c>
      <c r="J490" s="28">
        <v>995.79084799999998</v>
      </c>
      <c r="K490" s="28">
        <v>957.91899699999999</v>
      </c>
      <c r="L490" s="28">
        <v>5.2271916300000001</v>
      </c>
      <c r="M490" s="28">
        <v>111.5155</v>
      </c>
      <c r="N490" s="28">
        <v>51.874669900000001</v>
      </c>
      <c r="O490" s="28">
        <v>1046.2638099999999</v>
      </c>
      <c r="P490" s="28">
        <v>953.73618799999997</v>
      </c>
    </row>
    <row r="491" spans="1:16" x14ac:dyDescent="0.25">
      <c r="A491" s="40">
        <v>1</v>
      </c>
      <c r="B491" s="40">
        <v>237</v>
      </c>
      <c r="C491" s="28">
        <v>13.085201</v>
      </c>
      <c r="D491" s="28">
        <v>6.4128442100000003</v>
      </c>
      <c r="E491" s="28">
        <v>30.787138899999999</v>
      </c>
      <c r="F491" s="28">
        <v>22.592890199999999</v>
      </c>
      <c r="G491" s="28">
        <v>20.170777000000001</v>
      </c>
      <c r="H491" s="28">
        <v>54.760930700000003</v>
      </c>
      <c r="I491" s="28">
        <v>35.551902200000001</v>
      </c>
      <c r="J491" s="28">
        <v>996.62579000000005</v>
      </c>
      <c r="K491" s="28">
        <v>962.68263200000001</v>
      </c>
      <c r="L491" s="28">
        <v>5.3002501000000004</v>
      </c>
      <c r="M491" s="28">
        <v>111.487951</v>
      </c>
      <c r="N491" s="28">
        <v>51.8377111</v>
      </c>
      <c r="O491" s="28">
        <v>1060.8870400000001</v>
      </c>
      <c r="P491" s="28">
        <v>939.11295500000006</v>
      </c>
    </row>
    <row r="492" spans="1:16" x14ac:dyDescent="0.25">
      <c r="A492" s="40">
        <v>1</v>
      </c>
      <c r="B492" s="40">
        <v>238</v>
      </c>
      <c r="C492" s="28">
        <v>13.0781259</v>
      </c>
      <c r="D492" s="28">
        <v>6.3605431899999996</v>
      </c>
      <c r="E492" s="28">
        <v>30.790575499999999</v>
      </c>
      <c r="F492" s="28">
        <v>22.331859399999999</v>
      </c>
      <c r="G492" s="28">
        <v>20.232051599999998</v>
      </c>
      <c r="H492" s="28">
        <v>54.411954000000001</v>
      </c>
      <c r="I492" s="28">
        <v>34.815260700000003</v>
      </c>
      <c r="J492" s="28">
        <v>996.10689400000001</v>
      </c>
      <c r="K492" s="28">
        <v>958.04525699999999</v>
      </c>
      <c r="L492" s="28">
        <v>5.2949712399999997</v>
      </c>
      <c r="M492" s="28">
        <v>111.086414</v>
      </c>
      <c r="N492" s="28">
        <v>52.919748200000001</v>
      </c>
      <c r="O492" s="28">
        <v>1059.83044</v>
      </c>
      <c r="P492" s="28">
        <v>940.16956300000004</v>
      </c>
    </row>
    <row r="493" spans="1:16" x14ac:dyDescent="0.25">
      <c r="A493" s="40">
        <v>1</v>
      </c>
      <c r="B493" s="40">
        <v>239</v>
      </c>
      <c r="C493" s="28">
        <v>13.221642599999999</v>
      </c>
      <c r="D493" s="28">
        <v>6.4645524200000004</v>
      </c>
      <c r="E493" s="28">
        <v>30.758987099999999</v>
      </c>
      <c r="F493" s="28">
        <v>22.226873099999999</v>
      </c>
      <c r="G493" s="28">
        <v>20.266681299999998</v>
      </c>
      <c r="H493" s="28">
        <v>54.963057800000001</v>
      </c>
      <c r="I493" s="28">
        <v>34.646437300000002</v>
      </c>
      <c r="J493" s="28">
        <v>996.45172400000001</v>
      </c>
      <c r="K493" s="28">
        <v>958.77547400000003</v>
      </c>
      <c r="L493" s="28">
        <v>5.2040076099999997</v>
      </c>
      <c r="M493" s="28">
        <v>111.420734</v>
      </c>
      <c r="N493" s="28">
        <v>52.247041099999997</v>
      </c>
      <c r="O493" s="28">
        <v>1041.6233500000001</v>
      </c>
      <c r="P493" s="28">
        <v>958.37665300000003</v>
      </c>
    </row>
    <row r="494" spans="1:16" x14ac:dyDescent="0.25">
      <c r="A494" s="40">
        <v>1</v>
      </c>
      <c r="B494" s="40">
        <v>240</v>
      </c>
      <c r="C494" s="28">
        <v>13.3139745</v>
      </c>
      <c r="D494" s="28">
        <v>6.5236033300000003</v>
      </c>
      <c r="E494" s="28">
        <v>30.750663400000001</v>
      </c>
      <c r="F494" s="28">
        <v>22.253992400000001</v>
      </c>
      <c r="G494" s="28">
        <v>20.441974299999998</v>
      </c>
      <c r="H494" s="28">
        <v>55.191445000000002</v>
      </c>
      <c r="I494" s="28">
        <v>34.648228899999999</v>
      </c>
      <c r="J494" s="28">
        <v>996.00623299999995</v>
      </c>
      <c r="K494" s="28">
        <v>963.26651500000003</v>
      </c>
      <c r="L494" s="28">
        <v>5.14143068</v>
      </c>
      <c r="M494" s="28">
        <v>112.05308100000001</v>
      </c>
      <c r="N494" s="28">
        <v>52.348982100000001</v>
      </c>
      <c r="O494" s="28">
        <v>1029.09808</v>
      </c>
      <c r="P494" s="28">
        <v>970.90192100000002</v>
      </c>
    </row>
    <row r="495" spans="1:16" x14ac:dyDescent="0.25">
      <c r="A495" s="40">
        <v>1</v>
      </c>
      <c r="B495" s="40">
        <v>241</v>
      </c>
      <c r="C495" s="28">
        <v>13.236080599999999</v>
      </c>
      <c r="D495" s="28">
        <v>6.5086880200000001</v>
      </c>
      <c r="E495" s="28">
        <v>30.5433281</v>
      </c>
      <c r="F495" s="28">
        <v>22.1614562</v>
      </c>
      <c r="G495" s="28">
        <v>20.333607199999999</v>
      </c>
      <c r="H495" s="28">
        <v>54.9585036</v>
      </c>
      <c r="I495" s="28">
        <v>34.634389200000001</v>
      </c>
      <c r="J495" s="28">
        <v>996.77453200000002</v>
      </c>
      <c r="K495" s="28">
        <v>967.58745499999998</v>
      </c>
      <c r="L495" s="28">
        <v>5.1057270800000003</v>
      </c>
      <c r="M495" s="28">
        <v>111.789028</v>
      </c>
      <c r="N495" s="28">
        <v>53.032955100000002</v>
      </c>
      <c r="O495" s="28">
        <v>1021.95172</v>
      </c>
      <c r="P495" s="28">
        <v>978.04827999999998</v>
      </c>
    </row>
    <row r="496" spans="1:16" x14ac:dyDescent="0.25">
      <c r="A496" s="40">
        <v>1</v>
      </c>
      <c r="B496" s="40">
        <v>242</v>
      </c>
      <c r="C496" s="28">
        <v>13.131735000000001</v>
      </c>
      <c r="D496" s="28">
        <v>6.5278677199999997</v>
      </c>
      <c r="E496" s="28">
        <v>30.881873299999999</v>
      </c>
      <c r="F496" s="28">
        <v>22.060162600000002</v>
      </c>
      <c r="G496" s="28">
        <v>20.378837799999999</v>
      </c>
      <c r="H496" s="28">
        <v>55.761128399999997</v>
      </c>
      <c r="I496" s="28">
        <v>34.655734199999998</v>
      </c>
      <c r="J496" s="28">
        <v>995.97523000000001</v>
      </c>
      <c r="K496" s="28">
        <v>970.157016</v>
      </c>
      <c r="L496" s="28">
        <v>5.1430786800000003</v>
      </c>
      <c r="M496" s="28">
        <v>112.013023</v>
      </c>
      <c r="N496" s="28">
        <v>53.090018100000002</v>
      </c>
      <c r="O496" s="28">
        <v>1029.42794</v>
      </c>
      <c r="P496" s="28">
        <v>970.57206099999996</v>
      </c>
    </row>
    <row r="497" spans="1:16" x14ac:dyDescent="0.25">
      <c r="A497" s="40">
        <v>1</v>
      </c>
      <c r="B497" s="40">
        <v>243</v>
      </c>
      <c r="C497" s="28">
        <v>13.1263699</v>
      </c>
      <c r="D497" s="28">
        <v>6.53472221</v>
      </c>
      <c r="E497" s="28">
        <v>30.992616600000002</v>
      </c>
      <c r="F497" s="28">
        <v>21.942866800000001</v>
      </c>
      <c r="G497" s="28">
        <v>20.2399889</v>
      </c>
      <c r="H497" s="28">
        <v>56.557051700000002</v>
      </c>
      <c r="I497" s="28">
        <v>34.478967099999998</v>
      </c>
      <c r="J497" s="28">
        <v>996.85919799999999</v>
      </c>
      <c r="K497" s="28">
        <v>968.35895400000004</v>
      </c>
      <c r="L497" s="28">
        <v>5.1228172799999996</v>
      </c>
      <c r="M497" s="28">
        <v>112.082424</v>
      </c>
      <c r="N497" s="28">
        <v>52.883892299999999</v>
      </c>
      <c r="O497" s="28">
        <v>1025.37246</v>
      </c>
      <c r="P497" s="28">
        <v>974.62754099999995</v>
      </c>
    </row>
    <row r="498" spans="1:16" x14ac:dyDescent="0.25">
      <c r="A498" s="40">
        <v>1</v>
      </c>
      <c r="B498" s="40">
        <v>244</v>
      </c>
      <c r="C498" s="28">
        <v>13.227240500000001</v>
      </c>
      <c r="D498" s="28">
        <v>6.5315456899999997</v>
      </c>
      <c r="E498" s="28">
        <v>31.034894699999999</v>
      </c>
      <c r="F498" s="28">
        <v>21.979848700000002</v>
      </c>
      <c r="G498" s="28">
        <v>20.230217</v>
      </c>
      <c r="H498" s="28">
        <v>56.2261442</v>
      </c>
      <c r="I498" s="28">
        <v>34.387268499999998</v>
      </c>
      <c r="J498" s="28">
        <v>997.31249200000002</v>
      </c>
      <c r="K498" s="28">
        <v>975.29740500000003</v>
      </c>
      <c r="L498" s="28">
        <v>5.0711877899999998</v>
      </c>
      <c r="M498" s="28">
        <v>111.832559</v>
      </c>
      <c r="N498" s="28">
        <v>52.5120711</v>
      </c>
      <c r="O498" s="28">
        <v>1015.03841</v>
      </c>
      <c r="P498" s="28">
        <v>984.96159299999999</v>
      </c>
    </row>
    <row r="499" spans="1:16" x14ac:dyDescent="0.25">
      <c r="A499" s="40">
        <v>1</v>
      </c>
      <c r="B499" s="40">
        <v>245</v>
      </c>
      <c r="C499" s="28">
        <v>13.2397344</v>
      </c>
      <c r="D499" s="28">
        <v>6.6014636099999997</v>
      </c>
      <c r="E499" s="28">
        <v>31.1857495</v>
      </c>
      <c r="F499" s="28">
        <v>21.8850424</v>
      </c>
      <c r="G499" s="28">
        <v>20.149283400000002</v>
      </c>
      <c r="H499" s="28">
        <v>56.6413115</v>
      </c>
      <c r="I499" s="28">
        <v>34.527847800000004</v>
      </c>
      <c r="J499" s="28">
        <v>997.543408</v>
      </c>
      <c r="K499" s="28">
        <v>972.13862500000005</v>
      </c>
      <c r="L499" s="28">
        <v>5.0459064099999997</v>
      </c>
      <c r="M499" s="28">
        <v>111.941548</v>
      </c>
      <c r="N499" s="28">
        <v>52.467098300000004</v>
      </c>
      <c r="O499" s="28">
        <v>1009.9781400000001</v>
      </c>
      <c r="P499" s="28">
        <v>990.02185999999995</v>
      </c>
    </row>
    <row r="500" spans="1:16" x14ac:dyDescent="0.25">
      <c r="A500" s="40">
        <v>1</v>
      </c>
      <c r="B500" s="40">
        <v>246</v>
      </c>
      <c r="C500" s="28">
        <v>13.257303</v>
      </c>
      <c r="D500" s="28">
        <v>6.5728028900000002</v>
      </c>
      <c r="E500" s="28">
        <v>31.206477799999998</v>
      </c>
      <c r="F500" s="28">
        <v>21.860288199999999</v>
      </c>
      <c r="G500" s="28">
        <v>20.277816399999999</v>
      </c>
      <c r="H500" s="28">
        <v>57.499539400000003</v>
      </c>
      <c r="I500" s="28">
        <v>34.855942599999999</v>
      </c>
      <c r="J500" s="28">
        <v>997.72496100000001</v>
      </c>
      <c r="K500" s="28">
        <v>972.38277900000003</v>
      </c>
      <c r="L500" s="28">
        <v>5.0740547899999999</v>
      </c>
      <c r="M500" s="28">
        <v>112.081316</v>
      </c>
      <c r="N500" s="28">
        <v>52.096892500000003</v>
      </c>
      <c r="O500" s="28">
        <v>1015.61226</v>
      </c>
      <c r="P500" s="28">
        <v>984.38773900000001</v>
      </c>
    </row>
    <row r="501" spans="1:16" x14ac:dyDescent="0.25">
      <c r="A501" s="40">
        <v>1</v>
      </c>
      <c r="B501" s="40">
        <v>247</v>
      </c>
      <c r="C501" s="28">
        <v>13.296249400000001</v>
      </c>
      <c r="D501" s="28">
        <v>6.5744990899999998</v>
      </c>
      <c r="E501" s="28">
        <v>31.470704999999999</v>
      </c>
      <c r="F501" s="28">
        <v>21.959579600000001</v>
      </c>
      <c r="G501" s="28">
        <v>20.295889299999999</v>
      </c>
      <c r="H501" s="28">
        <v>57.481880500000003</v>
      </c>
      <c r="I501" s="28">
        <v>35.196402200000001</v>
      </c>
      <c r="J501" s="28">
        <v>997.91903000000002</v>
      </c>
      <c r="K501" s="28">
        <v>970.150667</v>
      </c>
      <c r="L501" s="28">
        <v>5.0466119999999997</v>
      </c>
      <c r="M501" s="28">
        <v>112.32037</v>
      </c>
      <c r="N501" s="28">
        <v>51.7980345</v>
      </c>
      <c r="O501" s="28">
        <v>1010.11937</v>
      </c>
      <c r="P501" s="28">
        <v>989.88063099999999</v>
      </c>
    </row>
    <row r="502" spans="1:16" x14ac:dyDescent="0.25">
      <c r="A502" s="40">
        <v>1</v>
      </c>
      <c r="B502" s="40">
        <v>248</v>
      </c>
      <c r="C502" s="28">
        <v>13.3104976</v>
      </c>
      <c r="D502" s="28">
        <v>6.5887942800000001</v>
      </c>
      <c r="E502" s="28">
        <v>31.436727900000001</v>
      </c>
      <c r="F502" s="28">
        <v>21.815496799999998</v>
      </c>
      <c r="G502" s="28">
        <v>20.245726699999999</v>
      </c>
      <c r="H502" s="28">
        <v>57.8328658</v>
      </c>
      <c r="I502" s="28">
        <v>34.281780099999999</v>
      </c>
      <c r="J502" s="28">
        <v>998.23796400000003</v>
      </c>
      <c r="K502" s="28">
        <v>969.47238600000003</v>
      </c>
      <c r="L502" s="28">
        <v>4.9904309299999996</v>
      </c>
      <c r="M502" s="28">
        <v>111.95304</v>
      </c>
      <c r="N502" s="28">
        <v>51.915860100000003</v>
      </c>
      <c r="O502" s="28">
        <v>998.87428199999999</v>
      </c>
      <c r="P502" s="28">
        <v>1001.12572</v>
      </c>
    </row>
    <row r="503" spans="1:16" x14ac:dyDescent="0.25">
      <c r="A503" s="40">
        <v>1</v>
      </c>
      <c r="B503" s="40">
        <v>249</v>
      </c>
      <c r="C503" s="28">
        <v>13.282598</v>
      </c>
      <c r="D503" s="28">
        <v>6.54159487</v>
      </c>
      <c r="E503" s="28">
        <v>31.409328599999998</v>
      </c>
      <c r="F503" s="28">
        <v>21.804289900000001</v>
      </c>
      <c r="G503" s="28">
        <v>20.2965959</v>
      </c>
      <c r="H503" s="28">
        <v>57.753030799999998</v>
      </c>
      <c r="I503" s="28">
        <v>34.451358800000001</v>
      </c>
      <c r="J503" s="28">
        <v>998.50289799999996</v>
      </c>
      <c r="K503" s="28">
        <v>963.90890899999999</v>
      </c>
      <c r="L503" s="28">
        <v>4.9792674999999997</v>
      </c>
      <c r="M503" s="28">
        <v>111.87300399999999</v>
      </c>
      <c r="N503" s="28">
        <v>52.046739000000002</v>
      </c>
      <c r="O503" s="28">
        <v>996.63983399999995</v>
      </c>
      <c r="P503" s="28">
        <v>1003.36017</v>
      </c>
    </row>
    <row r="504" spans="1:16" x14ac:dyDescent="0.25">
      <c r="A504" s="40">
        <v>1</v>
      </c>
      <c r="B504" s="40">
        <v>250</v>
      </c>
      <c r="C504" s="28">
        <v>13.2743643</v>
      </c>
      <c r="D504" s="28">
        <v>6.5552872400000002</v>
      </c>
      <c r="E504" s="28">
        <v>31.182226199999999</v>
      </c>
      <c r="F504" s="28">
        <v>21.692499000000002</v>
      </c>
      <c r="G504" s="28">
        <v>20.2047743</v>
      </c>
      <c r="H504" s="28">
        <v>56.464039300000003</v>
      </c>
      <c r="I504" s="28">
        <v>33.796495800000002</v>
      </c>
      <c r="J504" s="28">
        <v>998.72054600000001</v>
      </c>
      <c r="K504" s="28">
        <v>962.58416999999997</v>
      </c>
      <c r="L504" s="28">
        <v>4.9124805599999997</v>
      </c>
      <c r="M504" s="28">
        <v>110.63895599999999</v>
      </c>
      <c r="N504" s="28">
        <v>51.876103999999998</v>
      </c>
      <c r="O504" s="28">
        <v>983.27189899999996</v>
      </c>
      <c r="P504" s="28">
        <v>1016.7281</v>
      </c>
    </row>
    <row r="505" spans="1:16" x14ac:dyDescent="0.25">
      <c r="A505" s="40">
        <v>1</v>
      </c>
      <c r="B505" s="40">
        <v>251</v>
      </c>
      <c r="C505" s="28">
        <v>13.360632799999999</v>
      </c>
      <c r="D505" s="28">
        <v>6.5798644299999998</v>
      </c>
      <c r="E505" s="28">
        <v>31.0678491</v>
      </c>
      <c r="F505" s="28">
        <v>21.625770599999999</v>
      </c>
      <c r="G505" s="28">
        <v>20.429352900000001</v>
      </c>
      <c r="H505" s="28">
        <v>56.7130352</v>
      </c>
      <c r="I505" s="28">
        <v>34.2821414</v>
      </c>
      <c r="J505" s="28">
        <v>998.49004000000002</v>
      </c>
      <c r="K505" s="28">
        <v>961.26579200000003</v>
      </c>
      <c r="L505" s="28">
        <v>4.9676864500000004</v>
      </c>
      <c r="M505" s="28">
        <v>110.880606</v>
      </c>
      <c r="N505" s="28">
        <v>52.267124500000001</v>
      </c>
      <c r="O505" s="28">
        <v>994.32179599999995</v>
      </c>
      <c r="P505" s="28">
        <v>1005.6781999999999</v>
      </c>
    </row>
    <row r="506" spans="1:16" x14ac:dyDescent="0.25">
      <c r="A506" s="40">
        <v>1</v>
      </c>
      <c r="B506" s="40">
        <v>252</v>
      </c>
      <c r="C506" s="28">
        <v>13.3900398</v>
      </c>
      <c r="D506" s="28">
        <v>6.5679097300000002</v>
      </c>
      <c r="E506" s="28">
        <v>30.7914326</v>
      </c>
      <c r="F506" s="28">
        <v>21.560179600000001</v>
      </c>
      <c r="G506" s="28">
        <v>20.440373000000001</v>
      </c>
      <c r="H506" s="28">
        <v>56.082665800000001</v>
      </c>
      <c r="I506" s="28">
        <v>34.4631148</v>
      </c>
      <c r="J506" s="28">
        <v>999.00001299999997</v>
      </c>
      <c r="K506" s="28">
        <v>968.36219400000004</v>
      </c>
      <c r="L506" s="28">
        <v>4.9806436300000003</v>
      </c>
      <c r="M506" s="28">
        <v>110.85765000000001</v>
      </c>
      <c r="N506" s="28">
        <v>52.674564400000001</v>
      </c>
      <c r="O506" s="28">
        <v>996.91527699999995</v>
      </c>
      <c r="P506" s="28">
        <v>1003.0847199999999</v>
      </c>
    </row>
    <row r="507" spans="1:16" x14ac:dyDescent="0.25">
      <c r="A507" s="40">
        <v>2</v>
      </c>
      <c r="B507" s="40">
        <v>1</v>
      </c>
      <c r="C507" s="28">
        <v>13.349816199999999</v>
      </c>
      <c r="D507" s="28">
        <v>6.6068060500000003</v>
      </c>
      <c r="E507" s="28">
        <v>30.862885200000001</v>
      </c>
      <c r="F507" s="28">
        <v>21.7344139</v>
      </c>
      <c r="G507" s="28">
        <v>20.330641199999999</v>
      </c>
      <c r="H507" s="28">
        <v>57.385953499999999</v>
      </c>
      <c r="I507" s="28">
        <v>34.875944400000002</v>
      </c>
      <c r="J507" s="28">
        <v>965.15920600000004</v>
      </c>
      <c r="K507" s="28">
        <v>943.93191999999999</v>
      </c>
      <c r="L507" s="28">
        <v>4.9953135700000004</v>
      </c>
      <c r="M507" s="28">
        <v>104.461602</v>
      </c>
      <c r="N507" s="28">
        <v>52.323937999999998</v>
      </c>
      <c r="O507" s="28">
        <v>1002.94539</v>
      </c>
      <c r="P507" s="28">
        <v>997.05461000000003</v>
      </c>
    </row>
    <row r="508" spans="1:16" x14ac:dyDescent="0.25">
      <c r="A508" s="40">
        <v>2</v>
      </c>
      <c r="B508" s="40">
        <v>2</v>
      </c>
      <c r="C508" s="28">
        <v>13.2432152</v>
      </c>
      <c r="D508" s="28">
        <v>6.6540444000000001</v>
      </c>
      <c r="E508" s="28">
        <v>30.364617800000001</v>
      </c>
      <c r="F508" s="28">
        <v>21.665660200000001</v>
      </c>
      <c r="G508" s="28">
        <v>20.2095023</v>
      </c>
      <c r="H508" s="28">
        <v>56.782113699999996</v>
      </c>
      <c r="I508" s="28">
        <v>34.840362300000002</v>
      </c>
      <c r="J508" s="28">
        <v>956.307682</v>
      </c>
      <c r="K508" s="28">
        <v>943.46897100000001</v>
      </c>
      <c r="L508" s="28">
        <v>4.8683271599999998</v>
      </c>
      <c r="M508" s="28">
        <v>104.835357</v>
      </c>
      <c r="N508" s="28">
        <v>51.491128699999997</v>
      </c>
      <c r="O508" s="28">
        <v>977.44940599999995</v>
      </c>
      <c r="P508" s="28">
        <v>1022.5505900000001</v>
      </c>
    </row>
    <row r="509" spans="1:16" x14ac:dyDescent="0.25">
      <c r="A509" s="40">
        <v>2</v>
      </c>
      <c r="B509" s="40">
        <v>3</v>
      </c>
      <c r="C509" s="28">
        <v>13.2758462</v>
      </c>
      <c r="D509" s="28">
        <v>6.5964427700000003</v>
      </c>
      <c r="E509" s="28">
        <v>30.6702537</v>
      </c>
      <c r="F509" s="28">
        <v>21.8765249</v>
      </c>
      <c r="G509" s="28">
        <v>20.266680399999998</v>
      </c>
      <c r="H509" s="28">
        <v>56.885405800000001</v>
      </c>
      <c r="I509" s="28">
        <v>34.924588900000003</v>
      </c>
      <c r="J509" s="28">
        <v>964.92167199999994</v>
      </c>
      <c r="K509" s="28">
        <v>945.75229999999999</v>
      </c>
      <c r="L509" s="28">
        <v>4.9446551300000001</v>
      </c>
      <c r="M509" s="28">
        <v>105.500804</v>
      </c>
      <c r="N509" s="28">
        <v>50.871166799999997</v>
      </c>
      <c r="O509" s="28">
        <v>992.77432699999997</v>
      </c>
      <c r="P509" s="28">
        <v>1007.22567</v>
      </c>
    </row>
    <row r="510" spans="1:16" x14ac:dyDescent="0.25">
      <c r="A510" s="40">
        <v>2</v>
      </c>
      <c r="B510" s="40">
        <v>4</v>
      </c>
      <c r="C510" s="28">
        <v>13.2862379</v>
      </c>
      <c r="D510" s="28">
        <v>6.6028103299999996</v>
      </c>
      <c r="E510" s="28">
        <v>30.393191900000001</v>
      </c>
      <c r="F510" s="28">
        <v>21.873229500000001</v>
      </c>
      <c r="G510" s="28">
        <v>20.139500699999999</v>
      </c>
      <c r="H510" s="28">
        <v>57.872991300000002</v>
      </c>
      <c r="I510" s="28">
        <v>34.9959597</v>
      </c>
      <c r="J510" s="28">
        <v>955.85541999999998</v>
      </c>
      <c r="K510" s="28">
        <v>935.61930199999995</v>
      </c>
      <c r="L510" s="28">
        <v>4.9608025600000003</v>
      </c>
      <c r="M510" s="28">
        <v>106.109764</v>
      </c>
      <c r="N510" s="28">
        <v>51.075943700000003</v>
      </c>
      <c r="O510" s="28">
        <v>996.01636299999996</v>
      </c>
      <c r="P510" s="28">
        <v>1003.98364</v>
      </c>
    </row>
    <row r="511" spans="1:16" x14ac:dyDescent="0.25">
      <c r="A511" s="40">
        <v>2</v>
      </c>
      <c r="B511" s="40">
        <v>5</v>
      </c>
      <c r="C511" s="28">
        <v>13.282200700000001</v>
      </c>
      <c r="D511" s="28">
        <v>6.6416270300000004</v>
      </c>
      <c r="E511" s="28">
        <v>30.260481500000001</v>
      </c>
      <c r="F511" s="28">
        <v>21.746022199999999</v>
      </c>
      <c r="G511" s="28">
        <v>20.201454300000002</v>
      </c>
      <c r="H511" s="28">
        <v>58.518446599999997</v>
      </c>
      <c r="I511" s="28">
        <v>35.1376895</v>
      </c>
      <c r="J511" s="28">
        <v>963.81386099999997</v>
      </c>
      <c r="K511" s="28">
        <v>938.465913</v>
      </c>
      <c r="L511" s="28">
        <v>5.0625026100000001</v>
      </c>
      <c r="M511" s="28">
        <v>105.730451</v>
      </c>
      <c r="N511" s="28">
        <v>51.060393699999999</v>
      </c>
      <c r="O511" s="28">
        <v>1016.43542</v>
      </c>
      <c r="P511" s="28">
        <v>983.56457899999998</v>
      </c>
    </row>
    <row r="512" spans="1:16" x14ac:dyDescent="0.25">
      <c r="A512" s="40">
        <v>2</v>
      </c>
      <c r="B512" s="40">
        <v>6</v>
      </c>
      <c r="C512" s="28">
        <v>13.2008811</v>
      </c>
      <c r="D512" s="28">
        <v>6.6305368099999997</v>
      </c>
      <c r="E512" s="28">
        <v>30.5598922</v>
      </c>
      <c r="F512" s="28">
        <v>21.63608</v>
      </c>
      <c r="G512" s="28">
        <v>20.181668299999998</v>
      </c>
      <c r="H512" s="28">
        <v>59.080453800000001</v>
      </c>
      <c r="I512" s="28">
        <v>36.062994500000002</v>
      </c>
      <c r="J512" s="28">
        <v>955.60871499999996</v>
      </c>
      <c r="K512" s="28">
        <v>938.82571499999995</v>
      </c>
      <c r="L512" s="28">
        <v>5.1418981800000001</v>
      </c>
      <c r="M512" s="28">
        <v>106.127194</v>
      </c>
      <c r="N512" s="28">
        <v>51.596044499999998</v>
      </c>
      <c r="O512" s="28">
        <v>1032.37625</v>
      </c>
      <c r="P512" s="28">
        <v>967.62375299999997</v>
      </c>
    </row>
    <row r="513" spans="1:16" x14ac:dyDescent="0.25">
      <c r="A513" s="40">
        <v>2</v>
      </c>
      <c r="B513" s="40">
        <v>7</v>
      </c>
      <c r="C513" s="28">
        <v>13.1136</v>
      </c>
      <c r="D513" s="28">
        <v>6.5521934399999999</v>
      </c>
      <c r="E513" s="28">
        <v>30.909344399999998</v>
      </c>
      <c r="F513" s="28">
        <v>21.420574999999999</v>
      </c>
      <c r="G513" s="28">
        <v>20.134791</v>
      </c>
      <c r="H513" s="28">
        <v>59.051747800000001</v>
      </c>
      <c r="I513" s="28">
        <v>36.142521199999997</v>
      </c>
      <c r="J513" s="28">
        <v>962.98517900000002</v>
      </c>
      <c r="K513" s="28">
        <v>943.21232299999997</v>
      </c>
      <c r="L513" s="28">
        <v>5.1566528800000002</v>
      </c>
      <c r="M513" s="28">
        <v>105.924295</v>
      </c>
      <c r="N513" s="28">
        <v>51.692467999999998</v>
      </c>
      <c r="O513" s="28">
        <v>1035.3386599999999</v>
      </c>
      <c r="P513" s="28">
        <v>964.66134499999998</v>
      </c>
    </row>
    <row r="514" spans="1:16" x14ac:dyDescent="0.25">
      <c r="A514" s="40">
        <v>2</v>
      </c>
      <c r="B514" s="40">
        <v>8</v>
      </c>
      <c r="C514" s="28">
        <v>13.322377299999999</v>
      </c>
      <c r="D514" s="28">
        <v>6.5619388499999998</v>
      </c>
      <c r="E514" s="28">
        <v>30.9136183</v>
      </c>
      <c r="F514" s="28">
        <v>21.383884999999999</v>
      </c>
      <c r="G514" s="28">
        <v>20.1427516</v>
      </c>
      <c r="H514" s="28">
        <v>59.216876999999997</v>
      </c>
      <c r="I514" s="28">
        <v>36.002398900000003</v>
      </c>
      <c r="J514" s="28">
        <v>956.95283400000005</v>
      </c>
      <c r="K514" s="28">
        <v>943.49655199999995</v>
      </c>
      <c r="L514" s="28">
        <v>5.1920726799999999</v>
      </c>
      <c r="M514" s="28">
        <v>106.33554700000001</v>
      </c>
      <c r="N514" s="28">
        <v>51.6813523</v>
      </c>
      <c r="O514" s="28">
        <v>1042.4501399999999</v>
      </c>
      <c r="P514" s="28">
        <v>957.54985499999998</v>
      </c>
    </row>
    <row r="515" spans="1:16" x14ac:dyDescent="0.25">
      <c r="A515" s="40">
        <v>2</v>
      </c>
      <c r="B515" s="40">
        <v>9</v>
      </c>
      <c r="C515" s="28">
        <v>13.480349800000001</v>
      </c>
      <c r="D515" s="28">
        <v>6.60819972</v>
      </c>
      <c r="E515" s="28">
        <v>31.2726045</v>
      </c>
      <c r="F515" s="28">
        <v>21.2079269</v>
      </c>
      <c r="G515" s="28">
        <v>20.116004799999999</v>
      </c>
      <c r="H515" s="28">
        <v>59.097982100000003</v>
      </c>
      <c r="I515" s="28">
        <v>35.924140899999998</v>
      </c>
      <c r="J515" s="28">
        <v>964.27642400000002</v>
      </c>
      <c r="K515" s="28">
        <v>943.03994999999998</v>
      </c>
      <c r="L515" s="28">
        <v>5.2401589700000004</v>
      </c>
      <c r="M515" s="28">
        <v>106.125607</v>
      </c>
      <c r="N515" s="28">
        <v>51.230425199999999</v>
      </c>
      <c r="O515" s="28">
        <v>1052.1047799999999</v>
      </c>
      <c r="P515" s="28">
        <v>947.89521999999999</v>
      </c>
    </row>
    <row r="516" spans="1:16" x14ac:dyDescent="0.25">
      <c r="A516" s="40">
        <v>2</v>
      </c>
      <c r="B516" s="40">
        <v>10</v>
      </c>
      <c r="C516" s="28">
        <v>13.4428567</v>
      </c>
      <c r="D516" s="28">
        <v>6.6096755099999998</v>
      </c>
      <c r="E516" s="28">
        <v>31.451333699999999</v>
      </c>
      <c r="F516" s="28">
        <v>21.183813199999999</v>
      </c>
      <c r="G516" s="28">
        <v>19.898723499999999</v>
      </c>
      <c r="H516" s="28">
        <v>59.061681900000004</v>
      </c>
      <c r="I516" s="28">
        <v>36.000590600000002</v>
      </c>
      <c r="J516" s="28">
        <v>957.83110699999997</v>
      </c>
      <c r="K516" s="28">
        <v>939.89433299999996</v>
      </c>
      <c r="L516" s="28">
        <v>5.2903117799999997</v>
      </c>
      <c r="M516" s="28">
        <v>105.952411</v>
      </c>
      <c r="N516" s="28">
        <v>51.661811200000002</v>
      </c>
      <c r="O516" s="28">
        <v>1062.1743200000001</v>
      </c>
      <c r="P516" s="28">
        <v>937.82567700000004</v>
      </c>
    </row>
    <row r="517" spans="1:16" x14ac:dyDescent="0.25">
      <c r="A517" s="40">
        <v>2</v>
      </c>
      <c r="B517" s="40">
        <v>11</v>
      </c>
      <c r="C517" s="28">
        <v>13.3402058</v>
      </c>
      <c r="D517" s="28">
        <v>6.5764520600000003</v>
      </c>
      <c r="E517" s="28">
        <v>31.626823900000002</v>
      </c>
      <c r="F517" s="28">
        <v>21.2499547</v>
      </c>
      <c r="G517" s="28">
        <v>20.187428700000002</v>
      </c>
      <c r="H517" s="28">
        <v>58.701888699999998</v>
      </c>
      <c r="I517" s="28">
        <v>36.953188099999998</v>
      </c>
      <c r="J517" s="28">
        <v>963.36267699999996</v>
      </c>
      <c r="K517" s="28">
        <v>940.18294000000003</v>
      </c>
      <c r="L517" s="28">
        <v>5.3574664900000002</v>
      </c>
      <c r="M517" s="28">
        <v>106.565375</v>
      </c>
      <c r="N517" s="28">
        <v>52.018128500000003</v>
      </c>
      <c r="O517" s="28">
        <v>1075.6574599999999</v>
      </c>
      <c r="P517" s="28">
        <v>924.34253799999999</v>
      </c>
    </row>
    <row r="518" spans="1:16" x14ac:dyDescent="0.25">
      <c r="A518" s="40">
        <v>2</v>
      </c>
      <c r="B518" s="40">
        <v>12</v>
      </c>
      <c r="C518" s="28">
        <v>13.4536003</v>
      </c>
      <c r="D518" s="28">
        <v>6.6433420500000002</v>
      </c>
      <c r="E518" s="28">
        <v>31.6884239</v>
      </c>
      <c r="F518" s="28">
        <v>21.314122000000001</v>
      </c>
      <c r="G518" s="28">
        <v>20.4220054</v>
      </c>
      <c r="H518" s="28">
        <v>58.599726400000002</v>
      </c>
      <c r="I518" s="28">
        <v>36.333930000000002</v>
      </c>
      <c r="J518" s="28">
        <v>957.97067400000003</v>
      </c>
      <c r="K518" s="28">
        <v>940.58685800000001</v>
      </c>
      <c r="L518" s="28">
        <v>5.3660197199999997</v>
      </c>
      <c r="M518" s="28">
        <v>106.808429</v>
      </c>
      <c r="N518" s="28">
        <v>51.768089799999998</v>
      </c>
      <c r="O518" s="28">
        <v>1077.3747599999999</v>
      </c>
      <c r="P518" s="28">
        <v>922.62524299999995</v>
      </c>
    </row>
    <row r="519" spans="1:16" x14ac:dyDescent="0.25">
      <c r="A519" s="40">
        <v>2</v>
      </c>
      <c r="B519" s="40">
        <v>13</v>
      </c>
      <c r="C519" s="28">
        <v>13.476380600000001</v>
      </c>
      <c r="D519" s="28">
        <v>6.6150098000000002</v>
      </c>
      <c r="E519" s="28">
        <v>31.746992200000001</v>
      </c>
      <c r="F519" s="28">
        <v>21.3838933</v>
      </c>
      <c r="G519" s="28">
        <v>20.3858313</v>
      </c>
      <c r="H519" s="28">
        <v>59.630194099999997</v>
      </c>
      <c r="I519" s="28">
        <v>36.933982800000003</v>
      </c>
      <c r="J519" s="28">
        <v>963.46349499999997</v>
      </c>
      <c r="K519" s="28">
        <v>938.79415700000004</v>
      </c>
      <c r="L519" s="28">
        <v>5.3977643999999998</v>
      </c>
      <c r="M519" s="28">
        <v>107.490477</v>
      </c>
      <c r="N519" s="28">
        <v>51.428716000000001</v>
      </c>
      <c r="O519" s="28">
        <v>1083.74837</v>
      </c>
      <c r="P519" s="28">
        <v>916.25163299999997</v>
      </c>
    </row>
    <row r="520" spans="1:16" x14ac:dyDescent="0.25">
      <c r="A520" s="40">
        <v>2</v>
      </c>
      <c r="B520" s="40">
        <v>14</v>
      </c>
      <c r="C520" s="28">
        <v>13.4628765</v>
      </c>
      <c r="D520" s="28">
        <v>6.5011272699999996</v>
      </c>
      <c r="E520" s="28">
        <v>31.810996200000002</v>
      </c>
      <c r="F520" s="28">
        <v>21.223980000000001</v>
      </c>
      <c r="G520" s="28">
        <v>20.072180500000002</v>
      </c>
      <c r="H520" s="28">
        <v>59.787414300000002</v>
      </c>
      <c r="I520" s="28">
        <v>36.724793099999999</v>
      </c>
      <c r="J520" s="28">
        <v>957.77498200000002</v>
      </c>
      <c r="K520" s="28">
        <v>931.458707</v>
      </c>
      <c r="L520" s="28">
        <v>5.5098252800000003</v>
      </c>
      <c r="M520" s="28">
        <v>106.335432</v>
      </c>
      <c r="N520" s="28">
        <v>52.311779199999997</v>
      </c>
      <c r="O520" s="28">
        <v>1106.24764</v>
      </c>
      <c r="P520" s="28">
        <v>893.75235699999996</v>
      </c>
    </row>
    <row r="521" spans="1:16" x14ac:dyDescent="0.25">
      <c r="A521" s="40">
        <v>2</v>
      </c>
      <c r="B521" s="40">
        <v>15</v>
      </c>
      <c r="C521" s="28">
        <v>13.40071</v>
      </c>
      <c r="D521" s="28">
        <v>6.5235462000000002</v>
      </c>
      <c r="E521" s="28">
        <v>31.542090000000002</v>
      </c>
      <c r="F521" s="28">
        <v>21.261976099999998</v>
      </c>
      <c r="G521" s="28">
        <v>20.054264400000001</v>
      </c>
      <c r="H521" s="28">
        <v>59.638490500000003</v>
      </c>
      <c r="I521" s="28">
        <v>37.227977799999998</v>
      </c>
      <c r="J521" s="28">
        <v>963.28810499999997</v>
      </c>
      <c r="K521" s="28">
        <v>932.95289600000001</v>
      </c>
      <c r="L521" s="28">
        <v>5.5413008699999997</v>
      </c>
      <c r="M521" s="28">
        <v>105.942001</v>
      </c>
      <c r="N521" s="28">
        <v>53.317588499999999</v>
      </c>
      <c r="O521" s="28">
        <v>1112.5672300000001</v>
      </c>
      <c r="P521" s="28">
        <v>887.43277399999999</v>
      </c>
    </row>
    <row r="522" spans="1:16" x14ac:dyDescent="0.25">
      <c r="A522" s="40">
        <v>2</v>
      </c>
      <c r="B522" s="40">
        <v>16</v>
      </c>
      <c r="C522" s="28">
        <v>13.2367329</v>
      </c>
      <c r="D522" s="28">
        <v>6.5187400000000002</v>
      </c>
      <c r="E522" s="28">
        <v>31.074498699999999</v>
      </c>
      <c r="F522" s="28">
        <v>21.082287600000001</v>
      </c>
      <c r="G522" s="28">
        <v>20.079615799999999</v>
      </c>
      <c r="H522" s="28">
        <v>58.383139800000002</v>
      </c>
      <c r="I522" s="28">
        <v>37.164740100000003</v>
      </c>
      <c r="J522" s="28">
        <v>957.80439799999999</v>
      </c>
      <c r="K522" s="28">
        <v>933.76396699999998</v>
      </c>
      <c r="L522" s="28">
        <v>5.56991835</v>
      </c>
      <c r="M522" s="28">
        <v>105.329221</v>
      </c>
      <c r="N522" s="28">
        <v>53.135088699999997</v>
      </c>
      <c r="O522" s="28">
        <v>1118.31297</v>
      </c>
      <c r="P522" s="28">
        <v>881.68703400000004</v>
      </c>
    </row>
    <row r="523" spans="1:16" x14ac:dyDescent="0.25">
      <c r="A523" s="40">
        <v>2</v>
      </c>
      <c r="B523" s="40">
        <v>17</v>
      </c>
      <c r="C523" s="28">
        <v>13.3950206</v>
      </c>
      <c r="D523" s="28">
        <v>6.53854399</v>
      </c>
      <c r="E523" s="28">
        <v>30.969195599999999</v>
      </c>
      <c r="F523" s="28">
        <v>21.277349000000001</v>
      </c>
      <c r="G523" s="28">
        <v>20.1725557</v>
      </c>
      <c r="H523" s="28">
        <v>58.503558499999997</v>
      </c>
      <c r="I523" s="28">
        <v>37.467641899999997</v>
      </c>
      <c r="J523" s="28">
        <v>963.73193300000003</v>
      </c>
      <c r="K523" s="28">
        <v>932.954295</v>
      </c>
      <c r="L523" s="28">
        <v>5.5958580299999996</v>
      </c>
      <c r="M523" s="28">
        <v>105.91397000000001</v>
      </c>
      <c r="N523" s="28">
        <v>54.105550399999998</v>
      </c>
      <c r="O523" s="28">
        <v>1123.52106</v>
      </c>
      <c r="P523" s="28">
        <v>876.47893699999997</v>
      </c>
    </row>
    <row r="524" spans="1:16" x14ac:dyDescent="0.25">
      <c r="A524" s="40">
        <v>2</v>
      </c>
      <c r="B524" s="40">
        <v>18</v>
      </c>
      <c r="C524" s="28">
        <v>13.324953600000001</v>
      </c>
      <c r="D524" s="28">
        <v>6.5276612099999998</v>
      </c>
      <c r="E524" s="28">
        <v>31.1985511</v>
      </c>
      <c r="F524" s="28">
        <v>21.0652075</v>
      </c>
      <c r="G524" s="28">
        <v>20.381198300000001</v>
      </c>
      <c r="H524" s="28">
        <v>58.479427700000002</v>
      </c>
      <c r="I524" s="28">
        <v>37.267331400000003</v>
      </c>
      <c r="J524" s="28">
        <v>957.88747599999999</v>
      </c>
      <c r="K524" s="28">
        <v>929.77955599999996</v>
      </c>
      <c r="L524" s="28">
        <v>5.5059791599999999</v>
      </c>
      <c r="M524" s="28">
        <v>105.948425</v>
      </c>
      <c r="N524" s="28">
        <v>54.698092899999999</v>
      </c>
      <c r="O524" s="28">
        <v>1105.47543</v>
      </c>
      <c r="P524" s="28">
        <v>894.52457000000004</v>
      </c>
    </row>
    <row r="525" spans="1:16" x14ac:dyDescent="0.25">
      <c r="A525" s="40">
        <v>2</v>
      </c>
      <c r="B525" s="40">
        <v>19</v>
      </c>
      <c r="C525" s="28">
        <v>13.515036200000001</v>
      </c>
      <c r="D525" s="28">
        <v>6.5199194199999999</v>
      </c>
      <c r="E525" s="28">
        <v>31.209984500000001</v>
      </c>
      <c r="F525" s="28">
        <v>20.982795100000001</v>
      </c>
      <c r="G525" s="28">
        <v>20.4881423</v>
      </c>
      <c r="H525" s="28">
        <v>56.732545299999998</v>
      </c>
      <c r="I525" s="28">
        <v>37.490802500000001</v>
      </c>
      <c r="J525" s="28">
        <v>964.49562500000002</v>
      </c>
      <c r="K525" s="28">
        <v>931.98938299999998</v>
      </c>
      <c r="L525" s="28">
        <v>5.4662321599999997</v>
      </c>
      <c r="M525" s="28">
        <v>106.678927</v>
      </c>
      <c r="N525" s="28">
        <v>54.428578899999998</v>
      </c>
      <c r="O525" s="28">
        <v>1097.49514</v>
      </c>
      <c r="P525" s="28">
        <v>902.504865</v>
      </c>
    </row>
    <row r="526" spans="1:16" x14ac:dyDescent="0.25">
      <c r="A526" s="40">
        <v>2</v>
      </c>
      <c r="B526" s="40">
        <v>20</v>
      </c>
      <c r="C526" s="28">
        <v>13.5049238</v>
      </c>
      <c r="D526" s="28">
        <v>6.5113544399999999</v>
      </c>
      <c r="E526" s="28">
        <v>31.098440400000001</v>
      </c>
      <c r="F526" s="28">
        <v>21.143594799999999</v>
      </c>
      <c r="G526" s="28">
        <v>20.468225400000001</v>
      </c>
      <c r="H526" s="28">
        <v>56.6792467</v>
      </c>
      <c r="I526" s="28">
        <v>36.949682500000002</v>
      </c>
      <c r="J526" s="28">
        <v>959.15061400000002</v>
      </c>
      <c r="K526" s="28">
        <v>927.53096900000003</v>
      </c>
      <c r="L526" s="28">
        <v>5.4326281200000004</v>
      </c>
      <c r="M526" s="28">
        <v>106.946629</v>
      </c>
      <c r="N526" s="28">
        <v>53.5045067</v>
      </c>
      <c r="O526" s="28">
        <v>1090.74821</v>
      </c>
      <c r="P526" s="28">
        <v>909.25179100000003</v>
      </c>
    </row>
    <row r="527" spans="1:16" x14ac:dyDescent="0.25">
      <c r="A527" s="40">
        <v>2</v>
      </c>
      <c r="B527" s="40">
        <v>21</v>
      </c>
      <c r="C527" s="28">
        <v>13.719964299999999</v>
      </c>
      <c r="D527" s="28">
        <v>6.5159274600000003</v>
      </c>
      <c r="E527" s="28">
        <v>30.948295300000002</v>
      </c>
      <c r="F527" s="28">
        <v>21.300496500000001</v>
      </c>
      <c r="G527" s="28">
        <v>20.543123000000001</v>
      </c>
      <c r="H527" s="28">
        <v>57.8230681</v>
      </c>
      <c r="I527" s="28">
        <v>36.6702528</v>
      </c>
      <c r="J527" s="28">
        <v>964.99733700000002</v>
      </c>
      <c r="K527" s="28">
        <v>932.79055500000004</v>
      </c>
      <c r="L527" s="28">
        <v>5.3653644900000002</v>
      </c>
      <c r="M527" s="28">
        <v>107.165171</v>
      </c>
      <c r="N527" s="28">
        <v>53.161876999999997</v>
      </c>
      <c r="O527" s="28">
        <v>1077.2431999999999</v>
      </c>
      <c r="P527" s="28">
        <v>922.756799</v>
      </c>
    </row>
    <row r="528" spans="1:16" x14ac:dyDescent="0.25">
      <c r="A528" s="40">
        <v>2</v>
      </c>
      <c r="B528" s="40">
        <v>22</v>
      </c>
      <c r="C528" s="28">
        <v>13.7183267</v>
      </c>
      <c r="D528" s="28">
        <v>6.5473025500000004</v>
      </c>
      <c r="E528" s="28">
        <v>31.0833318</v>
      </c>
      <c r="F528" s="28">
        <v>21.1835855</v>
      </c>
      <c r="G528" s="28">
        <v>20.4463589</v>
      </c>
      <c r="H528" s="28">
        <v>58.139558100000002</v>
      </c>
      <c r="I528" s="28">
        <v>36.8273814</v>
      </c>
      <c r="J528" s="28">
        <v>959.52298199999996</v>
      </c>
      <c r="K528" s="28">
        <v>928.40576999999996</v>
      </c>
      <c r="L528" s="28">
        <v>5.33353901</v>
      </c>
      <c r="M528" s="28">
        <v>107.07744</v>
      </c>
      <c r="N528" s="28">
        <v>50.418591300000003</v>
      </c>
      <c r="O528" s="28">
        <v>1070.85337</v>
      </c>
      <c r="P528" s="28">
        <v>929.14663199999995</v>
      </c>
    </row>
    <row r="529" spans="1:16" x14ac:dyDescent="0.25">
      <c r="A529" s="40">
        <v>2</v>
      </c>
      <c r="B529" s="40">
        <v>23</v>
      </c>
      <c r="C529" s="28">
        <v>13.7036525</v>
      </c>
      <c r="D529" s="28">
        <v>6.6278268100000002</v>
      </c>
      <c r="E529" s="28">
        <v>30.964412599999999</v>
      </c>
      <c r="F529" s="28">
        <v>21.186896099999998</v>
      </c>
      <c r="G529" s="28">
        <v>20.1901081</v>
      </c>
      <c r="H529" s="28">
        <v>58.200652400000003</v>
      </c>
      <c r="I529" s="28">
        <v>36.424660500000002</v>
      </c>
      <c r="J529" s="28">
        <v>965.32790899999998</v>
      </c>
      <c r="K529" s="28">
        <v>932.24916099999996</v>
      </c>
      <c r="L529" s="28">
        <v>5.4644652699999998</v>
      </c>
      <c r="M529" s="28">
        <v>106.78438199999999</v>
      </c>
      <c r="N529" s="28">
        <v>50.8802722</v>
      </c>
      <c r="O529" s="28">
        <v>1097.1403800000001</v>
      </c>
      <c r="P529" s="28">
        <v>902.85961599999996</v>
      </c>
    </row>
    <row r="530" spans="1:16" x14ac:dyDescent="0.25">
      <c r="A530" s="40">
        <v>2</v>
      </c>
      <c r="B530" s="40">
        <v>24</v>
      </c>
      <c r="C530" s="28">
        <v>13.716911400000001</v>
      </c>
      <c r="D530" s="28">
        <v>6.6650665800000004</v>
      </c>
      <c r="E530" s="28">
        <v>31.0175035</v>
      </c>
      <c r="F530" s="28">
        <v>21.233730000000001</v>
      </c>
      <c r="G530" s="28">
        <v>20.2753652</v>
      </c>
      <c r="H530" s="28">
        <v>59.069432999999997</v>
      </c>
      <c r="I530" s="28">
        <v>36.713331199999999</v>
      </c>
      <c r="J530" s="28">
        <v>959.50073899999995</v>
      </c>
      <c r="K530" s="28">
        <v>928.05876799999999</v>
      </c>
      <c r="L530" s="28">
        <v>5.4057753799999997</v>
      </c>
      <c r="M530" s="28">
        <v>107.372626</v>
      </c>
      <c r="N530" s="28">
        <v>49.931475800000001</v>
      </c>
      <c r="O530" s="28">
        <v>1085.35679</v>
      </c>
      <c r="P530" s="28">
        <v>914.64320999999995</v>
      </c>
    </row>
    <row r="531" spans="1:16" x14ac:dyDescent="0.25">
      <c r="A531" s="40">
        <v>2</v>
      </c>
      <c r="B531" s="40">
        <v>25</v>
      </c>
      <c r="C531" s="28">
        <v>13.656715</v>
      </c>
      <c r="D531" s="28">
        <v>6.7281250300000002</v>
      </c>
      <c r="E531" s="28">
        <v>30.911843900000001</v>
      </c>
      <c r="F531" s="28">
        <v>21.267992100000001</v>
      </c>
      <c r="G531" s="28">
        <v>20.521372100000001</v>
      </c>
      <c r="H531" s="28">
        <v>60.586833200000001</v>
      </c>
      <c r="I531" s="28">
        <v>36.657741299999998</v>
      </c>
      <c r="J531" s="28">
        <v>964.24707999999998</v>
      </c>
      <c r="K531" s="28">
        <v>924.02436999999998</v>
      </c>
      <c r="L531" s="28">
        <v>5.4238118899999996</v>
      </c>
      <c r="M531" s="28">
        <v>108.05998099999999</v>
      </c>
      <c r="N531" s="28">
        <v>49.628958400000002</v>
      </c>
      <c r="O531" s="28">
        <v>1088.97811</v>
      </c>
      <c r="P531" s="28">
        <v>911.02188999999998</v>
      </c>
    </row>
    <row r="532" spans="1:16" x14ac:dyDescent="0.25">
      <c r="A532" s="40">
        <v>2</v>
      </c>
      <c r="B532" s="40">
        <v>26</v>
      </c>
      <c r="C532" s="28">
        <v>13.7030612</v>
      </c>
      <c r="D532" s="28">
        <v>6.7889809200000002</v>
      </c>
      <c r="E532" s="28">
        <v>30.905954699999999</v>
      </c>
      <c r="F532" s="28">
        <v>21.472177500000001</v>
      </c>
      <c r="G532" s="28">
        <v>20.427304700000001</v>
      </c>
      <c r="H532" s="28">
        <v>60.607388299999997</v>
      </c>
      <c r="I532" s="28">
        <v>36.772440199999998</v>
      </c>
      <c r="J532" s="28">
        <v>958.84074999999996</v>
      </c>
      <c r="K532" s="28">
        <v>922.91788599999995</v>
      </c>
      <c r="L532" s="28">
        <v>5.4366581199999997</v>
      </c>
      <c r="M532" s="28">
        <v>107.91219100000001</v>
      </c>
      <c r="N532" s="28">
        <v>49.069062600000002</v>
      </c>
      <c r="O532" s="28">
        <v>1091.5573400000001</v>
      </c>
      <c r="P532" s="28">
        <v>908.44265800000005</v>
      </c>
    </row>
    <row r="533" spans="1:16" x14ac:dyDescent="0.25">
      <c r="A533" s="40">
        <v>2</v>
      </c>
      <c r="B533" s="40">
        <v>27</v>
      </c>
      <c r="C533" s="28">
        <v>13.584851499999999</v>
      </c>
      <c r="D533" s="28">
        <v>6.8418797099999997</v>
      </c>
      <c r="E533" s="28">
        <v>31.135247400000001</v>
      </c>
      <c r="F533" s="28">
        <v>21.5258985</v>
      </c>
      <c r="G533" s="28">
        <v>20.4347955</v>
      </c>
      <c r="H533" s="28">
        <v>60.363243099999998</v>
      </c>
      <c r="I533" s="28">
        <v>37.471398800000003</v>
      </c>
      <c r="J533" s="28">
        <v>963.19750799999997</v>
      </c>
      <c r="K533" s="28">
        <v>924.63107500000001</v>
      </c>
      <c r="L533" s="28">
        <v>5.4152796700000003</v>
      </c>
      <c r="M533" s="28">
        <v>109.140595</v>
      </c>
      <c r="N533" s="28">
        <v>48.853938499999998</v>
      </c>
      <c r="O533" s="28">
        <v>1087.26503</v>
      </c>
      <c r="P533" s="28">
        <v>912.73496499999999</v>
      </c>
    </row>
    <row r="534" spans="1:16" x14ac:dyDescent="0.25">
      <c r="A534" s="40">
        <v>2</v>
      </c>
      <c r="B534" s="40">
        <v>28</v>
      </c>
      <c r="C534" s="28">
        <v>13.5830585</v>
      </c>
      <c r="D534" s="28">
        <v>6.8406895600000004</v>
      </c>
      <c r="E534" s="28">
        <v>30.528634700000001</v>
      </c>
      <c r="F534" s="28">
        <v>21.3025819</v>
      </c>
      <c r="G534" s="28">
        <v>20.455245699999999</v>
      </c>
      <c r="H534" s="28">
        <v>60.6703008</v>
      </c>
      <c r="I534" s="28">
        <v>37.697147700000002</v>
      </c>
      <c r="J534" s="28">
        <v>958.51467200000002</v>
      </c>
      <c r="K534" s="28">
        <v>929.42290800000001</v>
      </c>
      <c r="L534" s="28">
        <v>5.5038043600000002</v>
      </c>
      <c r="M534" s="28">
        <v>108.61755700000001</v>
      </c>
      <c r="N534" s="28">
        <v>48.542203000000001</v>
      </c>
      <c r="O534" s="28">
        <v>1105.0387800000001</v>
      </c>
      <c r="P534" s="28">
        <v>894.96122100000002</v>
      </c>
    </row>
    <row r="535" spans="1:16" x14ac:dyDescent="0.25">
      <c r="A535" s="40">
        <v>2</v>
      </c>
      <c r="B535" s="40">
        <v>29</v>
      </c>
      <c r="C535" s="28">
        <v>13.448417299999999</v>
      </c>
      <c r="D535" s="28">
        <v>6.85813614</v>
      </c>
      <c r="E535" s="28">
        <v>30.503837999999998</v>
      </c>
      <c r="F535" s="28">
        <v>21.275343400000001</v>
      </c>
      <c r="G535" s="28">
        <v>20.666611100000001</v>
      </c>
      <c r="H535" s="28">
        <v>60.655932399999998</v>
      </c>
      <c r="I535" s="28">
        <v>37.314795799999999</v>
      </c>
      <c r="J535" s="28">
        <v>963.662059</v>
      </c>
      <c r="K535" s="28">
        <v>929.30077500000004</v>
      </c>
      <c r="L535" s="28">
        <v>5.45449026</v>
      </c>
      <c r="M535" s="28">
        <v>109.42426399999999</v>
      </c>
      <c r="N535" s="28">
        <v>49.275835000000001</v>
      </c>
      <c r="O535" s="28">
        <v>1095.1376299999999</v>
      </c>
      <c r="P535" s="28">
        <v>904.86237000000006</v>
      </c>
    </row>
    <row r="536" spans="1:16" x14ac:dyDescent="0.25">
      <c r="A536" s="40">
        <v>2</v>
      </c>
      <c r="B536" s="40">
        <v>30</v>
      </c>
      <c r="C536" s="28">
        <v>13.5069953</v>
      </c>
      <c r="D536" s="28">
        <v>6.8126076600000003</v>
      </c>
      <c r="E536" s="28">
        <v>30.4171452</v>
      </c>
      <c r="F536" s="28">
        <v>20.7860072</v>
      </c>
      <c r="G536" s="28">
        <v>20.847332900000001</v>
      </c>
      <c r="H536" s="28">
        <v>61.0182419</v>
      </c>
      <c r="I536" s="28">
        <v>36.833755099999998</v>
      </c>
      <c r="J536" s="28">
        <v>959.703352</v>
      </c>
      <c r="K536" s="28">
        <v>931.47802200000001</v>
      </c>
      <c r="L536" s="28">
        <v>5.36088889</v>
      </c>
      <c r="M536" s="28">
        <v>108.486136</v>
      </c>
      <c r="N536" s="28">
        <v>48.883264799999999</v>
      </c>
      <c r="O536" s="28">
        <v>1076.3445999999999</v>
      </c>
      <c r="P536" s="28">
        <v>923.65539799999999</v>
      </c>
    </row>
    <row r="537" spans="1:16" x14ac:dyDescent="0.25">
      <c r="A537" s="40">
        <v>2</v>
      </c>
      <c r="B537" s="40">
        <v>31</v>
      </c>
      <c r="C537" s="28">
        <v>13.2607518</v>
      </c>
      <c r="D537" s="28">
        <v>6.7022065700000004</v>
      </c>
      <c r="E537" s="28">
        <v>30.449919900000001</v>
      </c>
      <c r="F537" s="28">
        <v>20.780810899999999</v>
      </c>
      <c r="G537" s="28">
        <v>20.770333399999998</v>
      </c>
      <c r="H537" s="28">
        <v>61.845099699999999</v>
      </c>
      <c r="I537" s="28">
        <v>36.624180600000003</v>
      </c>
      <c r="J537" s="28">
        <v>964.13131199999998</v>
      </c>
      <c r="K537" s="28">
        <v>932.45095200000003</v>
      </c>
      <c r="L537" s="28">
        <v>5.2534645500000003</v>
      </c>
      <c r="M537" s="28">
        <v>107.807136</v>
      </c>
      <c r="N537" s="28">
        <v>48.317618400000001</v>
      </c>
      <c r="O537" s="28">
        <v>1054.7762399999999</v>
      </c>
      <c r="P537" s="28">
        <v>945.22376199999997</v>
      </c>
    </row>
    <row r="538" spans="1:16" x14ac:dyDescent="0.25">
      <c r="A538" s="40">
        <v>2</v>
      </c>
      <c r="B538" s="40">
        <v>32</v>
      </c>
      <c r="C538" s="28">
        <v>13.408944099999999</v>
      </c>
      <c r="D538" s="28">
        <v>6.6897767400000001</v>
      </c>
      <c r="E538" s="28">
        <v>30.736046600000002</v>
      </c>
      <c r="F538" s="28">
        <v>20.653649300000001</v>
      </c>
      <c r="G538" s="28">
        <v>20.769203999999998</v>
      </c>
      <c r="H538" s="28">
        <v>62.136293899999998</v>
      </c>
      <c r="I538" s="28">
        <v>36.743481199999998</v>
      </c>
      <c r="J538" s="28">
        <v>959.44296499999996</v>
      </c>
      <c r="K538" s="28">
        <v>929.58562099999995</v>
      </c>
      <c r="L538" s="28">
        <v>5.2028984100000004</v>
      </c>
      <c r="M538" s="28">
        <v>108.22020999999999</v>
      </c>
      <c r="N538" s="28">
        <v>48.179800800000002</v>
      </c>
      <c r="O538" s="28">
        <v>1044.6237100000001</v>
      </c>
      <c r="P538" s="28">
        <v>955.37629400000003</v>
      </c>
    </row>
    <row r="539" spans="1:16" x14ac:dyDescent="0.25">
      <c r="A539" s="40">
        <v>2</v>
      </c>
      <c r="B539" s="40">
        <v>33</v>
      </c>
      <c r="C539" s="28">
        <v>13.3766728</v>
      </c>
      <c r="D539" s="28">
        <v>6.6742403000000001</v>
      </c>
      <c r="E539" s="28">
        <v>30.755902899999999</v>
      </c>
      <c r="F539" s="28">
        <v>20.513123</v>
      </c>
      <c r="G539" s="28">
        <v>20.773475099999999</v>
      </c>
      <c r="H539" s="28">
        <v>61.874193599999998</v>
      </c>
      <c r="I539" s="28">
        <v>36.188558299999997</v>
      </c>
      <c r="J539" s="28">
        <v>965.09956</v>
      </c>
      <c r="K539" s="28">
        <v>927.446595</v>
      </c>
      <c r="L539" s="28">
        <v>5.2241616999999998</v>
      </c>
      <c r="M539" s="28">
        <v>107.59173699999999</v>
      </c>
      <c r="N539" s="28">
        <v>48.627569899999997</v>
      </c>
      <c r="O539" s="28">
        <v>1048.8928900000001</v>
      </c>
      <c r="P539" s="28">
        <v>951.10710900000004</v>
      </c>
    </row>
    <row r="540" spans="1:16" x14ac:dyDescent="0.25">
      <c r="A540" s="40">
        <v>2</v>
      </c>
      <c r="B540" s="40">
        <v>34</v>
      </c>
      <c r="C540" s="28">
        <v>13.1956433</v>
      </c>
      <c r="D540" s="28">
        <v>6.7255872700000001</v>
      </c>
      <c r="E540" s="28">
        <v>30.688668400000001</v>
      </c>
      <c r="F540" s="28">
        <v>20.623043200000001</v>
      </c>
      <c r="G540" s="28">
        <v>20.953684299999999</v>
      </c>
      <c r="H540" s="28">
        <v>62.855007899999997</v>
      </c>
      <c r="I540" s="28">
        <v>35.738465400000003</v>
      </c>
      <c r="J540" s="28">
        <v>959.56319499999995</v>
      </c>
      <c r="K540" s="28">
        <v>928.41116799999998</v>
      </c>
      <c r="L540" s="28">
        <v>5.2067457399999997</v>
      </c>
      <c r="M540" s="28">
        <v>107.966047</v>
      </c>
      <c r="N540" s="28">
        <v>49.200178200000003</v>
      </c>
      <c r="O540" s="28">
        <v>1045.39616</v>
      </c>
      <c r="P540" s="28">
        <v>954.603838</v>
      </c>
    </row>
    <row r="541" spans="1:16" x14ac:dyDescent="0.25">
      <c r="A541" s="40">
        <v>2</v>
      </c>
      <c r="B541" s="40">
        <v>35</v>
      </c>
      <c r="C541" s="28">
        <v>13.277294899999999</v>
      </c>
      <c r="D541" s="28">
        <v>6.7480325399999996</v>
      </c>
      <c r="E541" s="28">
        <v>30.426535600000001</v>
      </c>
      <c r="F541" s="28">
        <v>20.484684300000001</v>
      </c>
      <c r="G541" s="28">
        <v>20.932682499999999</v>
      </c>
      <c r="H541" s="28">
        <v>62.906545800000004</v>
      </c>
      <c r="I541" s="28">
        <v>36.029837899999997</v>
      </c>
      <c r="J541" s="28">
        <v>964.88001599999996</v>
      </c>
      <c r="K541" s="28">
        <v>927.96661800000004</v>
      </c>
      <c r="L541" s="28">
        <v>5.1638505400000003</v>
      </c>
      <c r="M541" s="28">
        <v>108.202589</v>
      </c>
      <c r="N541" s="28">
        <v>50.359784699999999</v>
      </c>
      <c r="O541" s="28">
        <v>1036.78378</v>
      </c>
      <c r="P541" s="28">
        <v>963.21621800000003</v>
      </c>
    </row>
    <row r="542" spans="1:16" x14ac:dyDescent="0.25">
      <c r="A542" s="40">
        <v>2</v>
      </c>
      <c r="B542" s="40">
        <v>36</v>
      </c>
      <c r="C542" s="28">
        <v>13.3169199</v>
      </c>
      <c r="D542" s="28">
        <v>6.7672054199999998</v>
      </c>
      <c r="E542" s="28">
        <v>30.355109500000001</v>
      </c>
      <c r="F542" s="28">
        <v>20.7691424</v>
      </c>
      <c r="G542" s="28">
        <v>20.788582600000002</v>
      </c>
      <c r="H542" s="28">
        <v>63.4443938</v>
      </c>
      <c r="I542" s="28">
        <v>36.738117699999997</v>
      </c>
      <c r="J542" s="28">
        <v>959.30596400000002</v>
      </c>
      <c r="K542" s="28">
        <v>925.51092400000005</v>
      </c>
      <c r="L542" s="28">
        <v>5.1858769200000001</v>
      </c>
      <c r="M542" s="28">
        <v>108.680066</v>
      </c>
      <c r="N542" s="28">
        <v>50.748369199999999</v>
      </c>
      <c r="O542" s="28">
        <v>1041.2061799999999</v>
      </c>
      <c r="P542" s="28">
        <v>958.79382199999998</v>
      </c>
    </row>
    <row r="543" spans="1:16" x14ac:dyDescent="0.25">
      <c r="A543" s="40">
        <v>2</v>
      </c>
      <c r="B543" s="40">
        <v>37</v>
      </c>
      <c r="C543" s="28">
        <v>13.057188699999999</v>
      </c>
      <c r="D543" s="28">
        <v>6.8365608099999999</v>
      </c>
      <c r="E543" s="28">
        <v>30.4381606</v>
      </c>
      <c r="F543" s="28">
        <v>21.037328200000001</v>
      </c>
      <c r="G543" s="28">
        <v>21.190701700000002</v>
      </c>
      <c r="H543" s="28">
        <v>63.572525599999999</v>
      </c>
      <c r="I543" s="28">
        <v>37.6925618</v>
      </c>
      <c r="J543" s="28">
        <v>961.98048800000004</v>
      </c>
      <c r="K543" s="28">
        <v>921.61234100000001</v>
      </c>
      <c r="L543" s="28">
        <v>5.2468228699999999</v>
      </c>
      <c r="M543" s="28">
        <v>109.023957</v>
      </c>
      <c r="N543" s="28">
        <v>50.9041037</v>
      </c>
      <c r="O543" s="28">
        <v>1053.44274</v>
      </c>
      <c r="P543" s="28">
        <v>946.55726100000004</v>
      </c>
    </row>
    <row r="544" spans="1:16" x14ac:dyDescent="0.25">
      <c r="A544" s="40">
        <v>2</v>
      </c>
      <c r="B544" s="40">
        <v>38</v>
      </c>
      <c r="C544" s="28">
        <v>12.986015099999999</v>
      </c>
      <c r="D544" s="28">
        <v>6.8344691900000001</v>
      </c>
      <c r="E544" s="28">
        <v>30.176054700000002</v>
      </c>
      <c r="F544" s="28">
        <v>20.772338900000001</v>
      </c>
      <c r="G544" s="28">
        <v>20.8209774</v>
      </c>
      <c r="H544" s="28">
        <v>64.129363699999999</v>
      </c>
      <c r="I544" s="28">
        <v>36.954704200000002</v>
      </c>
      <c r="J544" s="28">
        <v>958.00882799999999</v>
      </c>
      <c r="K544" s="28">
        <v>923.39260899999999</v>
      </c>
      <c r="L544" s="28">
        <v>5.3106562899999998</v>
      </c>
      <c r="M544" s="28">
        <v>108.53343099999999</v>
      </c>
      <c r="N544" s="28">
        <v>50.7415649</v>
      </c>
      <c r="O544" s="28">
        <v>1066.2590399999999</v>
      </c>
      <c r="P544" s="28">
        <v>933.74096199999997</v>
      </c>
    </row>
    <row r="545" spans="1:16" x14ac:dyDescent="0.25">
      <c r="A545" s="40">
        <v>2</v>
      </c>
      <c r="B545" s="40">
        <v>39</v>
      </c>
      <c r="C545" s="28">
        <v>12.864245499999999</v>
      </c>
      <c r="D545" s="28">
        <v>6.7446322399999996</v>
      </c>
      <c r="E545" s="28">
        <v>29.977700200000001</v>
      </c>
      <c r="F545" s="28">
        <v>20.693620599999999</v>
      </c>
      <c r="G545" s="28">
        <v>20.813515200000001</v>
      </c>
      <c r="H545" s="28">
        <v>63.745652300000003</v>
      </c>
      <c r="I545" s="28">
        <v>36.756270000000001</v>
      </c>
      <c r="J545" s="28">
        <v>962.79180099999996</v>
      </c>
      <c r="K545" s="28">
        <v>922.54598599999997</v>
      </c>
      <c r="L545" s="28">
        <v>5.34358222</v>
      </c>
      <c r="M545" s="28">
        <v>108.547359</v>
      </c>
      <c r="N545" s="28">
        <v>51.644655200000003</v>
      </c>
      <c r="O545" s="28">
        <v>1072.8698199999999</v>
      </c>
      <c r="P545" s="28">
        <v>927.13018299999999</v>
      </c>
    </row>
    <row r="546" spans="1:16" x14ac:dyDescent="0.25">
      <c r="A546" s="40">
        <v>2</v>
      </c>
      <c r="B546" s="40">
        <v>40</v>
      </c>
      <c r="C546" s="28">
        <v>12.896543100000001</v>
      </c>
      <c r="D546" s="28">
        <v>6.6711813900000001</v>
      </c>
      <c r="E546" s="28">
        <v>29.719671999999999</v>
      </c>
      <c r="F546" s="28">
        <v>20.3267472</v>
      </c>
      <c r="G546" s="28">
        <v>20.901782699999998</v>
      </c>
      <c r="H546" s="28">
        <v>63.367984399999997</v>
      </c>
      <c r="I546" s="28">
        <v>37.651982699999998</v>
      </c>
      <c r="J546" s="28">
        <v>958.33547399999998</v>
      </c>
      <c r="K546" s="28">
        <v>921.34490800000003</v>
      </c>
      <c r="L546" s="28">
        <v>5.2778694899999996</v>
      </c>
      <c r="M546" s="28">
        <v>108.88885500000001</v>
      </c>
      <c r="N546" s="28">
        <v>52.622780499999998</v>
      </c>
      <c r="O546" s="28">
        <v>1059.6761899999999</v>
      </c>
      <c r="P546" s="28">
        <v>940.32380499999999</v>
      </c>
    </row>
    <row r="547" spans="1:16" x14ac:dyDescent="0.25">
      <c r="A547" s="40">
        <v>2</v>
      </c>
      <c r="B547" s="40">
        <v>41</v>
      </c>
      <c r="C547" s="28">
        <v>12.7170703</v>
      </c>
      <c r="D547" s="28">
        <v>6.6632177700000002</v>
      </c>
      <c r="E547" s="28">
        <v>29.508924</v>
      </c>
      <c r="F547" s="28">
        <v>20.2916223</v>
      </c>
      <c r="G547" s="28">
        <v>20.656916599999999</v>
      </c>
      <c r="H547" s="28">
        <v>63.453408799999998</v>
      </c>
      <c r="I547" s="28">
        <v>37.251116400000001</v>
      </c>
      <c r="J547" s="28">
        <v>962.87316999999996</v>
      </c>
      <c r="K547" s="28">
        <v>918.04425600000002</v>
      </c>
      <c r="L547" s="28">
        <v>5.2540104000000003</v>
      </c>
      <c r="M547" s="28">
        <v>108.80495000000001</v>
      </c>
      <c r="N547" s="28">
        <v>52.5966448</v>
      </c>
      <c r="O547" s="28">
        <v>1054.8858299999999</v>
      </c>
      <c r="P547" s="28">
        <v>945.11416899999995</v>
      </c>
    </row>
    <row r="548" spans="1:16" x14ac:dyDescent="0.25">
      <c r="A548" s="40">
        <v>2</v>
      </c>
      <c r="B548" s="40">
        <v>42</v>
      </c>
      <c r="C548" s="28">
        <v>12.717226399999999</v>
      </c>
      <c r="D548" s="28">
        <v>6.7001630600000004</v>
      </c>
      <c r="E548" s="28">
        <v>29.376871099999999</v>
      </c>
      <c r="F548" s="28">
        <v>20.125334299999999</v>
      </c>
      <c r="G548" s="28">
        <v>20.520883300000001</v>
      </c>
      <c r="H548" s="28">
        <v>62.619237499999997</v>
      </c>
      <c r="I548" s="28">
        <v>36.732400400000003</v>
      </c>
      <c r="J548" s="28">
        <v>959.42855799999995</v>
      </c>
      <c r="K548" s="28">
        <v>917.50024199999996</v>
      </c>
      <c r="L548" s="28">
        <v>5.3593560499999997</v>
      </c>
      <c r="M548" s="28">
        <v>108.526145</v>
      </c>
      <c r="N548" s="28">
        <v>52.606777299999997</v>
      </c>
      <c r="O548" s="28">
        <v>1076.03684</v>
      </c>
      <c r="P548" s="28">
        <v>923.96315800000002</v>
      </c>
    </row>
    <row r="549" spans="1:16" x14ac:dyDescent="0.25">
      <c r="A549" s="40">
        <v>2</v>
      </c>
      <c r="B549" s="40">
        <v>43</v>
      </c>
      <c r="C549" s="28">
        <v>12.8794348</v>
      </c>
      <c r="D549" s="28">
        <v>6.7477824399999999</v>
      </c>
      <c r="E549" s="28">
        <v>29.614479299999999</v>
      </c>
      <c r="F549" s="28">
        <v>20.239695300000001</v>
      </c>
      <c r="G549" s="28">
        <v>20.595770300000002</v>
      </c>
      <c r="H549" s="28">
        <v>63.2743927</v>
      </c>
      <c r="I549" s="28">
        <v>36.716405700000003</v>
      </c>
      <c r="J549" s="28">
        <v>963.84327499999995</v>
      </c>
      <c r="K549" s="28">
        <v>922.83330999999998</v>
      </c>
      <c r="L549" s="28">
        <v>5.3405445399999998</v>
      </c>
      <c r="M549" s="28">
        <v>108.926569</v>
      </c>
      <c r="N549" s="28">
        <v>52.2308424</v>
      </c>
      <c r="O549" s="28">
        <v>1072.25992</v>
      </c>
      <c r="P549" s="28">
        <v>927.74008100000003</v>
      </c>
    </row>
    <row r="550" spans="1:16" x14ac:dyDescent="0.25">
      <c r="A550" s="40">
        <v>2</v>
      </c>
      <c r="B550" s="40">
        <v>44</v>
      </c>
      <c r="C550" s="28">
        <v>12.9036089</v>
      </c>
      <c r="D550" s="28">
        <v>6.71748704</v>
      </c>
      <c r="E550" s="28">
        <v>30.155738299999999</v>
      </c>
      <c r="F550" s="28">
        <v>20.178821200000002</v>
      </c>
      <c r="G550" s="28">
        <v>20.630694299999998</v>
      </c>
      <c r="H550" s="28">
        <v>63.358249000000001</v>
      </c>
      <c r="I550" s="28">
        <v>37.1478629</v>
      </c>
      <c r="J550" s="28">
        <v>958.90433399999995</v>
      </c>
      <c r="K550" s="28">
        <v>923.54080399999998</v>
      </c>
      <c r="L550" s="28">
        <v>5.2871875700000004</v>
      </c>
      <c r="M550" s="28">
        <v>109.687247</v>
      </c>
      <c r="N550" s="28">
        <v>52.903100799999997</v>
      </c>
      <c r="O550" s="28">
        <v>1061.5470499999999</v>
      </c>
      <c r="P550" s="28">
        <v>938.45294699999999</v>
      </c>
    </row>
    <row r="551" spans="1:16" x14ac:dyDescent="0.25">
      <c r="A551" s="40">
        <v>2</v>
      </c>
      <c r="B551" s="40">
        <v>45</v>
      </c>
      <c r="C551" s="28">
        <v>12.949048599999999</v>
      </c>
      <c r="D551" s="28">
        <v>6.6983215200000004</v>
      </c>
      <c r="E551" s="28">
        <v>30.300237599999999</v>
      </c>
      <c r="F551" s="28">
        <v>20.2937999</v>
      </c>
      <c r="G551" s="28">
        <v>20.549685100000001</v>
      </c>
      <c r="H551" s="28">
        <v>63.398901700000003</v>
      </c>
      <c r="I551" s="28">
        <v>36.320023300000003</v>
      </c>
      <c r="J551" s="28">
        <v>963.76213600000005</v>
      </c>
      <c r="K551" s="28">
        <v>930.53021799999999</v>
      </c>
      <c r="L551" s="28">
        <v>5.3595830099999997</v>
      </c>
      <c r="M551" s="28">
        <v>109.47248399999999</v>
      </c>
      <c r="N551" s="28">
        <v>50.745182</v>
      </c>
      <c r="O551" s="28">
        <v>1076.08241</v>
      </c>
      <c r="P551" s="28">
        <v>923.91758900000002</v>
      </c>
    </row>
    <row r="552" spans="1:16" x14ac:dyDescent="0.25">
      <c r="A552" s="40">
        <v>2</v>
      </c>
      <c r="B552" s="40">
        <v>46</v>
      </c>
      <c r="C552" s="28">
        <v>12.976516800000001</v>
      </c>
      <c r="D552" s="28">
        <v>6.8119047100000003</v>
      </c>
      <c r="E552" s="28">
        <v>30.038764100000002</v>
      </c>
      <c r="F552" s="28">
        <v>19.9912332</v>
      </c>
      <c r="G552" s="28">
        <v>20.359935199999999</v>
      </c>
      <c r="H552" s="28">
        <v>63.199036300000003</v>
      </c>
      <c r="I552" s="28">
        <v>36.800742399999997</v>
      </c>
      <c r="J552" s="28">
        <v>959.92976199999998</v>
      </c>
      <c r="K552" s="28">
        <v>926.57046400000002</v>
      </c>
      <c r="L552" s="28">
        <v>5.3392374800000004</v>
      </c>
      <c r="M552" s="28">
        <v>109.250536</v>
      </c>
      <c r="N552" s="28">
        <v>50.635246199999997</v>
      </c>
      <c r="O552" s="28">
        <v>1071.99749</v>
      </c>
      <c r="P552" s="28">
        <v>928.00250800000003</v>
      </c>
    </row>
    <row r="553" spans="1:16" x14ac:dyDescent="0.25">
      <c r="A553" s="40">
        <v>2</v>
      </c>
      <c r="B553" s="40">
        <v>47</v>
      </c>
      <c r="C553" s="28">
        <v>12.835171300000001</v>
      </c>
      <c r="D553" s="28">
        <v>6.8150642799999996</v>
      </c>
      <c r="E553" s="28">
        <v>30.200234399999999</v>
      </c>
      <c r="F553" s="28">
        <v>19.722708799999999</v>
      </c>
      <c r="G553" s="28">
        <v>20.293945000000001</v>
      </c>
      <c r="H553" s="28">
        <v>62.644060799999998</v>
      </c>
      <c r="I553" s="28">
        <v>37.175863800000002</v>
      </c>
      <c r="J553" s="28">
        <v>963.98038399999996</v>
      </c>
      <c r="K553" s="28">
        <v>924.73299799999995</v>
      </c>
      <c r="L553" s="28">
        <v>5.3537299300000001</v>
      </c>
      <c r="M553" s="28">
        <v>109.39773099999999</v>
      </c>
      <c r="N553" s="28">
        <v>50.184583500000002</v>
      </c>
      <c r="O553" s="28">
        <v>1074.90725</v>
      </c>
      <c r="P553" s="28">
        <v>925.09275400000001</v>
      </c>
    </row>
    <row r="554" spans="1:16" x14ac:dyDescent="0.25">
      <c r="A554" s="40">
        <v>2</v>
      </c>
      <c r="B554" s="40">
        <v>48</v>
      </c>
      <c r="C554" s="28">
        <v>12.856377</v>
      </c>
      <c r="D554" s="28">
        <v>6.8688134999999999</v>
      </c>
      <c r="E554" s="28">
        <v>30.445490899999999</v>
      </c>
      <c r="F554" s="28">
        <v>19.695969900000001</v>
      </c>
      <c r="G554" s="28">
        <v>20.404862399999999</v>
      </c>
      <c r="H554" s="28">
        <v>62.492020500000002</v>
      </c>
      <c r="I554" s="28">
        <v>37.499857400000003</v>
      </c>
      <c r="J554" s="28">
        <v>959.49259300000006</v>
      </c>
      <c r="K554" s="28">
        <v>919.63063699999998</v>
      </c>
      <c r="L554" s="28">
        <v>5.39663906</v>
      </c>
      <c r="M554" s="28">
        <v>109.30887199999999</v>
      </c>
      <c r="N554" s="28">
        <v>50.283350200000001</v>
      </c>
      <c r="O554" s="28">
        <v>1083.52242</v>
      </c>
      <c r="P554" s="28">
        <v>916.477576</v>
      </c>
    </row>
    <row r="555" spans="1:16" x14ac:dyDescent="0.25">
      <c r="A555" s="40">
        <v>2</v>
      </c>
      <c r="B555" s="40">
        <v>49</v>
      </c>
      <c r="C555" s="28">
        <v>12.7627244</v>
      </c>
      <c r="D555" s="28">
        <v>6.8970889299999998</v>
      </c>
      <c r="E555" s="28">
        <v>30.5901359</v>
      </c>
      <c r="F555" s="28">
        <v>19.6729038</v>
      </c>
      <c r="G555" s="28">
        <v>20.342746000000002</v>
      </c>
      <c r="H555" s="28">
        <v>63.278803099999998</v>
      </c>
      <c r="I555" s="28">
        <v>37.130878899999999</v>
      </c>
      <c r="J555" s="28">
        <v>963.44346900000005</v>
      </c>
      <c r="K555" s="28">
        <v>918.16481799999997</v>
      </c>
      <c r="L555" s="28">
        <v>5.3194654400000001</v>
      </c>
      <c r="M555" s="28">
        <v>109.346754</v>
      </c>
      <c r="N555" s="28">
        <v>50.048859800000002</v>
      </c>
      <c r="O555" s="28">
        <v>1068.02772</v>
      </c>
      <c r="P555" s="28">
        <v>931.97228399999995</v>
      </c>
    </row>
    <row r="556" spans="1:16" x14ac:dyDescent="0.25">
      <c r="A556" s="40">
        <v>2</v>
      </c>
      <c r="B556" s="40">
        <v>50</v>
      </c>
      <c r="C556" s="28">
        <v>12.871881999999999</v>
      </c>
      <c r="D556" s="28">
        <v>6.8796037500000002</v>
      </c>
      <c r="E556" s="28">
        <v>31.004180900000001</v>
      </c>
      <c r="F556" s="28">
        <v>19.5751992</v>
      </c>
      <c r="G556" s="28">
        <v>20.1545776</v>
      </c>
      <c r="H556" s="28">
        <v>63.307189700000002</v>
      </c>
      <c r="I556" s="28">
        <v>36.693539600000001</v>
      </c>
      <c r="J556" s="28">
        <v>959.94689100000005</v>
      </c>
      <c r="K556" s="28">
        <v>925.78310899999997</v>
      </c>
      <c r="L556" s="28">
        <v>5.3015801199999997</v>
      </c>
      <c r="M556" s="28">
        <v>109.165469</v>
      </c>
      <c r="N556" s="28">
        <v>50.158356400000002</v>
      </c>
      <c r="O556" s="28">
        <v>1064.4367500000001</v>
      </c>
      <c r="P556" s="28">
        <v>935.56324900000004</v>
      </c>
    </row>
    <row r="557" spans="1:16" x14ac:dyDescent="0.25">
      <c r="A557" s="40">
        <v>2</v>
      </c>
      <c r="B557" s="40">
        <v>51</v>
      </c>
      <c r="C557" s="28">
        <v>12.9650029</v>
      </c>
      <c r="D557" s="28">
        <v>6.8843796700000004</v>
      </c>
      <c r="E557" s="28">
        <v>31.2236175</v>
      </c>
      <c r="F557" s="28">
        <v>19.2561532</v>
      </c>
      <c r="G557" s="28">
        <v>20.1139379</v>
      </c>
      <c r="H557" s="28">
        <v>63.271464199999997</v>
      </c>
      <c r="I557" s="28">
        <v>36.744383800000001</v>
      </c>
      <c r="J557" s="28">
        <v>964.82565099999999</v>
      </c>
      <c r="K557" s="28">
        <v>925.602262</v>
      </c>
      <c r="L557" s="28">
        <v>5.2428757099999999</v>
      </c>
      <c r="M557" s="28">
        <v>109.761644</v>
      </c>
      <c r="N557" s="28">
        <v>49.233903400000003</v>
      </c>
      <c r="O557" s="28">
        <v>1052.6502399999999</v>
      </c>
      <c r="P557" s="28">
        <v>947.34976099999994</v>
      </c>
    </row>
    <row r="558" spans="1:16" x14ac:dyDescent="0.25">
      <c r="A558" s="40">
        <v>2</v>
      </c>
      <c r="B558" s="40">
        <v>52</v>
      </c>
      <c r="C558" s="28">
        <v>12.9888546</v>
      </c>
      <c r="D558" s="28">
        <v>6.8620649199999999</v>
      </c>
      <c r="E558" s="28">
        <v>30.9751148</v>
      </c>
      <c r="F558" s="28">
        <v>19.502530499999999</v>
      </c>
      <c r="G558" s="28">
        <v>20.262379299999999</v>
      </c>
      <c r="H558" s="28">
        <v>62.884386999999997</v>
      </c>
      <c r="I558" s="28">
        <v>36.533644899999999</v>
      </c>
      <c r="J558" s="28">
        <v>960.99033099999997</v>
      </c>
      <c r="K558" s="28">
        <v>929.98556299999996</v>
      </c>
      <c r="L558" s="28">
        <v>5.1916122600000003</v>
      </c>
      <c r="M558" s="28">
        <v>110.123439</v>
      </c>
      <c r="N558" s="28">
        <v>48.995284599999998</v>
      </c>
      <c r="O558" s="28">
        <v>1042.3577</v>
      </c>
      <c r="P558" s="28">
        <v>957.64229599999999</v>
      </c>
    </row>
    <row r="559" spans="1:16" x14ac:dyDescent="0.25">
      <c r="A559" s="40">
        <v>2</v>
      </c>
      <c r="B559" s="40">
        <v>53</v>
      </c>
      <c r="C559" s="28">
        <v>12.9757649</v>
      </c>
      <c r="D559" s="28">
        <v>6.8904711299999999</v>
      </c>
      <c r="E559" s="28">
        <v>30.8796313</v>
      </c>
      <c r="F559" s="28">
        <v>19.5640866</v>
      </c>
      <c r="G559" s="28">
        <v>20.345478499999999</v>
      </c>
      <c r="H559" s="28">
        <v>63.337931099999999</v>
      </c>
      <c r="I559" s="28">
        <v>36.681404100000002</v>
      </c>
      <c r="J559" s="28">
        <v>964.91078100000004</v>
      </c>
      <c r="K559" s="28">
        <v>933.35010899999997</v>
      </c>
      <c r="L559" s="28">
        <v>5.3070708800000004</v>
      </c>
      <c r="M559" s="28">
        <v>110.541903</v>
      </c>
      <c r="N559" s="28">
        <v>50.2371379</v>
      </c>
      <c r="O559" s="28">
        <v>1065.53917</v>
      </c>
      <c r="P559" s="28">
        <v>934.46082999999999</v>
      </c>
    </row>
    <row r="560" spans="1:16" x14ac:dyDescent="0.25">
      <c r="A560" s="40">
        <v>2</v>
      </c>
      <c r="B560" s="40">
        <v>54</v>
      </c>
      <c r="C560" s="28">
        <v>13.068011</v>
      </c>
      <c r="D560" s="28">
        <v>6.8728142999999999</v>
      </c>
      <c r="E560" s="28">
        <v>31.012579800000001</v>
      </c>
      <c r="F560" s="28">
        <v>19.433394700000001</v>
      </c>
      <c r="G560" s="28">
        <v>20.468929800000002</v>
      </c>
      <c r="H560" s="28">
        <v>64.344172700000001</v>
      </c>
      <c r="I560" s="28">
        <v>36.954551199999997</v>
      </c>
      <c r="J560" s="28">
        <v>960.87496799999997</v>
      </c>
      <c r="K560" s="28">
        <v>932.00376700000004</v>
      </c>
      <c r="L560" s="28">
        <v>5.3494685200000003</v>
      </c>
      <c r="M560" s="28">
        <v>110.86711200000001</v>
      </c>
      <c r="N560" s="28">
        <v>49.197389000000001</v>
      </c>
      <c r="O560" s="28">
        <v>1074.0516500000001</v>
      </c>
      <c r="P560" s="28">
        <v>925.94834800000001</v>
      </c>
    </row>
    <row r="561" spans="1:16" x14ac:dyDescent="0.25">
      <c r="A561" s="40">
        <v>2</v>
      </c>
      <c r="B561" s="40">
        <v>55</v>
      </c>
      <c r="C561" s="28">
        <v>13.0531787</v>
      </c>
      <c r="D561" s="28">
        <v>6.8636250600000004</v>
      </c>
      <c r="E561" s="28">
        <v>31.0401852</v>
      </c>
      <c r="F561" s="28">
        <v>19.150863000000001</v>
      </c>
      <c r="G561" s="28">
        <v>20.365611699999999</v>
      </c>
      <c r="H561" s="28">
        <v>63.771158800000002</v>
      </c>
      <c r="I561" s="28">
        <v>37.168858700000001</v>
      </c>
      <c r="J561" s="28">
        <v>965.43182100000001</v>
      </c>
      <c r="K561" s="28">
        <v>936.60472500000003</v>
      </c>
      <c r="L561" s="28">
        <v>5.2674093500000003</v>
      </c>
      <c r="M561" s="28">
        <v>110.511674</v>
      </c>
      <c r="N561" s="28">
        <v>49.390990700000003</v>
      </c>
      <c r="O561" s="28">
        <v>1057.5760399999999</v>
      </c>
      <c r="P561" s="28">
        <v>942.42396399999996</v>
      </c>
    </row>
    <row r="562" spans="1:16" x14ac:dyDescent="0.25">
      <c r="A562" s="40">
        <v>2</v>
      </c>
      <c r="B562" s="40">
        <v>56</v>
      </c>
      <c r="C562" s="28">
        <v>13.1277598</v>
      </c>
      <c r="D562" s="28">
        <v>6.8516728200000001</v>
      </c>
      <c r="E562" s="28">
        <v>30.7217175</v>
      </c>
      <c r="F562" s="28">
        <v>19.109152900000002</v>
      </c>
      <c r="G562" s="28">
        <v>20.3858079</v>
      </c>
      <c r="H562" s="28">
        <v>63.372296400000003</v>
      </c>
      <c r="I562" s="28">
        <v>37.182886600000003</v>
      </c>
      <c r="J562" s="28">
        <v>962.24500499999999</v>
      </c>
      <c r="K562" s="28">
        <v>932.70577600000001</v>
      </c>
      <c r="L562" s="28">
        <v>5.1952968400000001</v>
      </c>
      <c r="M562" s="28">
        <v>109.92252999999999</v>
      </c>
      <c r="N562" s="28">
        <v>49.525631400000002</v>
      </c>
      <c r="O562" s="28">
        <v>1043.0974799999999</v>
      </c>
      <c r="P562" s="28">
        <v>956.90251599999999</v>
      </c>
    </row>
    <row r="563" spans="1:16" x14ac:dyDescent="0.25">
      <c r="A563" s="40">
        <v>2</v>
      </c>
      <c r="B563" s="40">
        <v>57</v>
      </c>
      <c r="C563" s="28">
        <v>13.000273699999999</v>
      </c>
      <c r="D563" s="28">
        <v>6.8676307100000002</v>
      </c>
      <c r="E563" s="28">
        <v>30.8467871</v>
      </c>
      <c r="F563" s="28">
        <v>18.900337700000001</v>
      </c>
      <c r="G563" s="28">
        <v>20.2295832</v>
      </c>
      <c r="H563" s="28">
        <v>64.556010700000002</v>
      </c>
      <c r="I563" s="28">
        <v>37.624342499999997</v>
      </c>
      <c r="J563" s="28">
        <v>965.57906000000003</v>
      </c>
      <c r="K563" s="28">
        <v>933.91119600000002</v>
      </c>
      <c r="L563" s="28">
        <v>5.3430311899999996</v>
      </c>
      <c r="M563" s="28">
        <v>109.746898</v>
      </c>
      <c r="N563" s="28">
        <v>50.837162200000002</v>
      </c>
      <c r="O563" s="28">
        <v>1072.75918</v>
      </c>
      <c r="P563" s="28">
        <v>927.24081899999999</v>
      </c>
    </row>
    <row r="564" spans="1:16" x14ac:dyDescent="0.25">
      <c r="A564" s="40">
        <v>2</v>
      </c>
      <c r="B564" s="40">
        <v>58</v>
      </c>
      <c r="C564" s="28">
        <v>13.065837500000001</v>
      </c>
      <c r="D564" s="28">
        <v>6.8715286300000002</v>
      </c>
      <c r="E564" s="28">
        <v>31.0358932</v>
      </c>
      <c r="F564" s="28">
        <v>18.9641701</v>
      </c>
      <c r="G564" s="28">
        <v>20.502664800000002</v>
      </c>
      <c r="H564" s="28">
        <v>64.7686195</v>
      </c>
      <c r="I564" s="28">
        <v>37.663601900000003</v>
      </c>
      <c r="J564" s="28">
        <v>961.57725200000004</v>
      </c>
      <c r="K564" s="28">
        <v>932.69201899999996</v>
      </c>
      <c r="L564" s="28">
        <v>5.5272096800000003</v>
      </c>
      <c r="M564" s="28">
        <v>110.00478099999999</v>
      </c>
      <c r="N564" s="28">
        <v>50.1248991</v>
      </c>
      <c r="O564" s="28">
        <v>1109.73804</v>
      </c>
      <c r="P564" s="28">
        <v>890.26196500000003</v>
      </c>
    </row>
    <row r="565" spans="1:16" x14ac:dyDescent="0.25">
      <c r="A565" s="40">
        <v>2</v>
      </c>
      <c r="B565" s="40">
        <v>59</v>
      </c>
      <c r="C565" s="28">
        <v>13.1398736</v>
      </c>
      <c r="D565" s="28">
        <v>6.8546067500000003</v>
      </c>
      <c r="E565" s="28">
        <v>30.659207599999998</v>
      </c>
      <c r="F565" s="28">
        <v>19.1101636</v>
      </c>
      <c r="G565" s="28">
        <v>20.471389800000001</v>
      </c>
      <c r="H565" s="28">
        <v>64.950142099999994</v>
      </c>
      <c r="I565" s="28">
        <v>38.330730000000003</v>
      </c>
      <c r="J565" s="28">
        <v>965.526927</v>
      </c>
      <c r="K565" s="28">
        <v>938.40942700000005</v>
      </c>
      <c r="L565" s="28">
        <v>5.4733593899999997</v>
      </c>
      <c r="M565" s="28">
        <v>109.86205200000001</v>
      </c>
      <c r="N565" s="28">
        <v>49.251890899999999</v>
      </c>
      <c r="O565" s="28">
        <v>1098.9261200000001</v>
      </c>
      <c r="P565" s="28">
        <v>901.07387800000004</v>
      </c>
    </row>
    <row r="566" spans="1:16" x14ac:dyDescent="0.25">
      <c r="A566" s="40">
        <v>2</v>
      </c>
      <c r="B566" s="40">
        <v>60</v>
      </c>
      <c r="C566" s="28">
        <v>13.257699300000001</v>
      </c>
      <c r="D566" s="28">
        <v>6.8000114399999996</v>
      </c>
      <c r="E566" s="28">
        <v>30.315727899999999</v>
      </c>
      <c r="F566" s="28">
        <v>19.212475300000001</v>
      </c>
      <c r="G566" s="28">
        <v>20.7317675</v>
      </c>
      <c r="H566" s="28">
        <v>65.343445000000003</v>
      </c>
      <c r="I566" s="28">
        <v>39.038339800000003</v>
      </c>
      <c r="J566" s="28">
        <v>961.60528699999998</v>
      </c>
      <c r="K566" s="28">
        <v>939.08152199999995</v>
      </c>
      <c r="L566" s="28">
        <v>5.5660758299999999</v>
      </c>
      <c r="M566" s="28">
        <v>109.42694400000001</v>
      </c>
      <c r="N566" s="28">
        <v>48.953050699999999</v>
      </c>
      <c r="O566" s="28">
        <v>1117.5414699999999</v>
      </c>
      <c r="P566" s="28">
        <v>882.45852600000001</v>
      </c>
    </row>
    <row r="567" spans="1:16" x14ac:dyDescent="0.25">
      <c r="A567" s="40">
        <v>2</v>
      </c>
      <c r="B567" s="40">
        <v>61</v>
      </c>
      <c r="C567" s="28">
        <v>13.1182397</v>
      </c>
      <c r="D567" s="28">
        <v>6.7712339799999999</v>
      </c>
      <c r="E567" s="28">
        <v>30.009414799999998</v>
      </c>
      <c r="F567" s="28">
        <v>19.0665993</v>
      </c>
      <c r="G567" s="28">
        <v>20.704801799999998</v>
      </c>
      <c r="H567" s="28">
        <v>65.347785099999996</v>
      </c>
      <c r="I567" s="28">
        <v>39.163627400000003</v>
      </c>
      <c r="J567" s="28">
        <v>965.57912299999998</v>
      </c>
      <c r="K567" s="28">
        <v>940.07458099999997</v>
      </c>
      <c r="L567" s="28">
        <v>5.4996583299999999</v>
      </c>
      <c r="M567" s="28">
        <v>109.432947</v>
      </c>
      <c r="N567" s="28">
        <v>48.630940099999997</v>
      </c>
      <c r="O567" s="28">
        <v>1104.2063499999999</v>
      </c>
      <c r="P567" s="28">
        <v>895.79364799999996</v>
      </c>
    </row>
    <row r="568" spans="1:16" x14ac:dyDescent="0.25">
      <c r="A568" s="40">
        <v>2</v>
      </c>
      <c r="B568" s="40">
        <v>62</v>
      </c>
      <c r="C568" s="28">
        <v>13.0913395</v>
      </c>
      <c r="D568" s="28">
        <v>6.7935222800000004</v>
      </c>
      <c r="E568" s="28">
        <v>29.9989226</v>
      </c>
      <c r="F568" s="28">
        <v>19.036906900000002</v>
      </c>
      <c r="G568" s="28">
        <v>20.332845299999999</v>
      </c>
      <c r="H568" s="28">
        <v>64.535478299999994</v>
      </c>
      <c r="I568" s="28">
        <v>38.310933300000002</v>
      </c>
      <c r="J568" s="28">
        <v>962.65871000000004</v>
      </c>
      <c r="K568" s="28">
        <v>941.29034799999999</v>
      </c>
      <c r="L568" s="28">
        <v>5.5264001900000004</v>
      </c>
      <c r="M568" s="28">
        <v>109.624318</v>
      </c>
      <c r="N568" s="28">
        <v>48.906829500000001</v>
      </c>
      <c r="O568" s="28">
        <v>1109.5755099999999</v>
      </c>
      <c r="P568" s="28">
        <v>890.42449199999999</v>
      </c>
    </row>
    <row r="569" spans="1:16" x14ac:dyDescent="0.25">
      <c r="A569" s="40">
        <v>2</v>
      </c>
      <c r="B569" s="40">
        <v>63</v>
      </c>
      <c r="C569" s="28">
        <v>13.193201200000001</v>
      </c>
      <c r="D569" s="28">
        <v>6.7476885700000002</v>
      </c>
      <c r="E569" s="28">
        <v>29.990508800000001</v>
      </c>
      <c r="F569" s="28">
        <v>19.119705400000001</v>
      </c>
      <c r="G569" s="28">
        <v>20.3050605</v>
      </c>
      <c r="H569" s="28">
        <v>64.606468399999997</v>
      </c>
      <c r="I569" s="28">
        <v>37.788144600000003</v>
      </c>
      <c r="J569" s="28">
        <v>967.27142600000002</v>
      </c>
      <c r="K569" s="28">
        <v>944.12815599999999</v>
      </c>
      <c r="L569" s="28">
        <v>5.3782405300000002</v>
      </c>
      <c r="M569" s="28">
        <v>109.296961</v>
      </c>
      <c r="N569" s="28">
        <v>49.811384500000003</v>
      </c>
      <c r="O569" s="28">
        <v>1079.8284200000001</v>
      </c>
      <c r="P569" s="28">
        <v>920.17158199999994</v>
      </c>
    </row>
    <row r="570" spans="1:16" x14ac:dyDescent="0.25">
      <c r="A570" s="40">
        <v>2</v>
      </c>
      <c r="B570" s="40">
        <v>64</v>
      </c>
      <c r="C570" s="28">
        <v>13.111443299999999</v>
      </c>
      <c r="D570" s="28">
        <v>6.72930107</v>
      </c>
      <c r="E570" s="28">
        <v>29.57565</v>
      </c>
      <c r="F570" s="28">
        <v>18.9150992</v>
      </c>
      <c r="G570" s="28">
        <v>20.247003100000001</v>
      </c>
      <c r="H570" s="28">
        <v>65.260383399999995</v>
      </c>
      <c r="I570" s="28">
        <v>36.279954699999998</v>
      </c>
      <c r="J570" s="28">
        <v>964.756258</v>
      </c>
      <c r="K570" s="28">
        <v>944.172506</v>
      </c>
      <c r="L570" s="28">
        <v>5.3253939199999998</v>
      </c>
      <c r="M570" s="28">
        <v>108.63103599999999</v>
      </c>
      <c r="N570" s="28">
        <v>49.3923652</v>
      </c>
      <c r="O570" s="28">
        <v>1069.21802</v>
      </c>
      <c r="P570" s="28">
        <v>930.78197999999998</v>
      </c>
    </row>
    <row r="571" spans="1:16" x14ac:dyDescent="0.25">
      <c r="A571" s="40">
        <v>2</v>
      </c>
      <c r="B571" s="40">
        <v>65</v>
      </c>
      <c r="C571" s="28">
        <v>13.1696575</v>
      </c>
      <c r="D571" s="28">
        <v>6.6830183999999999</v>
      </c>
      <c r="E571" s="28">
        <v>29.3531391</v>
      </c>
      <c r="F571" s="28">
        <v>18.843503299999998</v>
      </c>
      <c r="G571" s="28">
        <v>20.349914999999999</v>
      </c>
      <c r="H571" s="28">
        <v>65.568130600000003</v>
      </c>
      <c r="I571" s="28">
        <v>36.406573600000002</v>
      </c>
      <c r="J571" s="28">
        <v>969.03995399999997</v>
      </c>
      <c r="K571" s="28">
        <v>940.273731</v>
      </c>
      <c r="L571" s="28">
        <v>5.3057285900000002</v>
      </c>
      <c r="M571" s="28">
        <v>108.567708</v>
      </c>
      <c r="N571" s="28">
        <v>49.582320000000003</v>
      </c>
      <c r="O571" s="28">
        <v>1065.2696699999999</v>
      </c>
      <c r="P571" s="28">
        <v>934.73033199999998</v>
      </c>
    </row>
    <row r="572" spans="1:16" x14ac:dyDescent="0.25">
      <c r="A572" s="40">
        <v>2</v>
      </c>
      <c r="B572" s="40">
        <v>66</v>
      </c>
      <c r="C572" s="28">
        <v>13.1296534</v>
      </c>
      <c r="D572" s="28">
        <v>6.6698519699999999</v>
      </c>
      <c r="E572" s="28">
        <v>29.3022791</v>
      </c>
      <c r="F572" s="28">
        <v>18.754342000000001</v>
      </c>
      <c r="G572" s="28">
        <v>20.252747400000001</v>
      </c>
      <c r="H572" s="28">
        <v>64.596616299999994</v>
      </c>
      <c r="I572" s="28">
        <v>35.747584699999997</v>
      </c>
      <c r="J572" s="28">
        <v>966.23839299999997</v>
      </c>
      <c r="K572" s="28">
        <v>936.48671300000001</v>
      </c>
      <c r="L572" s="28">
        <v>5.3864919200000001</v>
      </c>
      <c r="M572" s="28">
        <v>107.157893</v>
      </c>
      <c r="N572" s="28">
        <v>49.028884099999999</v>
      </c>
      <c r="O572" s="28">
        <v>1081.4851100000001</v>
      </c>
      <c r="P572" s="28">
        <v>918.51489000000004</v>
      </c>
    </row>
    <row r="573" spans="1:16" x14ac:dyDescent="0.25">
      <c r="A573" s="40">
        <v>2</v>
      </c>
      <c r="B573" s="40">
        <v>67</v>
      </c>
      <c r="C573" s="28">
        <v>13.251082500000001</v>
      </c>
      <c r="D573" s="28">
        <v>6.6456472199999999</v>
      </c>
      <c r="E573" s="28">
        <v>29.256034100000001</v>
      </c>
      <c r="F573" s="28">
        <v>18.4378092</v>
      </c>
      <c r="G573" s="28">
        <v>19.972166399999999</v>
      </c>
      <c r="H573" s="28">
        <v>63.016861900000002</v>
      </c>
      <c r="I573" s="28">
        <v>36.142020700000003</v>
      </c>
      <c r="J573" s="28">
        <v>971.37582399999997</v>
      </c>
      <c r="K573" s="28">
        <v>939.67499299999997</v>
      </c>
      <c r="L573" s="28">
        <v>5.3796147599999999</v>
      </c>
      <c r="M573" s="28">
        <v>105.91757800000001</v>
      </c>
      <c r="N573" s="28">
        <v>48.376278499999998</v>
      </c>
      <c r="O573" s="28">
        <v>1080.1043299999999</v>
      </c>
      <c r="P573" s="28">
        <v>919.895669</v>
      </c>
    </row>
    <row r="574" spans="1:16" x14ac:dyDescent="0.25">
      <c r="A574" s="40">
        <v>2</v>
      </c>
      <c r="B574" s="40">
        <v>68</v>
      </c>
      <c r="C574" s="28">
        <v>13.219579</v>
      </c>
      <c r="D574" s="28">
        <v>6.6261143300000001</v>
      </c>
      <c r="E574" s="28">
        <v>29.423970300000001</v>
      </c>
      <c r="F574" s="28">
        <v>18.4509267</v>
      </c>
      <c r="G574" s="28">
        <v>20.110119099999999</v>
      </c>
      <c r="H574" s="28">
        <v>62.643498800000003</v>
      </c>
      <c r="I574" s="28">
        <v>36.738602299999997</v>
      </c>
      <c r="J574" s="28">
        <v>967.27707499999997</v>
      </c>
      <c r="K574" s="28">
        <v>941.98488699999996</v>
      </c>
      <c r="L574" s="28">
        <v>5.4178748900000002</v>
      </c>
      <c r="M574" s="28">
        <v>105.954587</v>
      </c>
      <c r="N574" s="28">
        <v>49.179137599999997</v>
      </c>
      <c r="O574" s="28">
        <v>1087.7861</v>
      </c>
      <c r="P574" s="28">
        <v>912.21390299999996</v>
      </c>
    </row>
    <row r="575" spans="1:16" x14ac:dyDescent="0.25">
      <c r="A575" s="40">
        <v>2</v>
      </c>
      <c r="B575" s="40">
        <v>69</v>
      </c>
      <c r="C575" s="28">
        <v>13.299534899999999</v>
      </c>
      <c r="D575" s="28">
        <v>6.6279344699999996</v>
      </c>
      <c r="E575" s="28">
        <v>29.347990299999999</v>
      </c>
      <c r="F575" s="28">
        <v>18.376867099999998</v>
      </c>
      <c r="G575" s="28">
        <v>20.175580700000001</v>
      </c>
      <c r="H575" s="28">
        <v>62.161742199999999</v>
      </c>
      <c r="I575" s="28">
        <v>36.689811499999998</v>
      </c>
      <c r="J575" s="28">
        <v>971.85167799999999</v>
      </c>
      <c r="K575" s="28">
        <v>942.71811400000001</v>
      </c>
      <c r="L575" s="28">
        <v>5.3185095699999998</v>
      </c>
      <c r="M575" s="28">
        <v>106.47354300000001</v>
      </c>
      <c r="N575" s="28">
        <v>49.177142500000002</v>
      </c>
      <c r="O575" s="28">
        <v>1067.8358000000001</v>
      </c>
      <c r="P575" s="28">
        <v>932.16420100000005</v>
      </c>
    </row>
    <row r="576" spans="1:16" x14ac:dyDescent="0.25">
      <c r="A576" s="40">
        <v>2</v>
      </c>
      <c r="B576" s="40">
        <v>70</v>
      </c>
      <c r="C576" s="28">
        <v>13.287031499999999</v>
      </c>
      <c r="D576" s="28">
        <v>6.5841106900000002</v>
      </c>
      <c r="E576" s="28">
        <v>29.4202817</v>
      </c>
      <c r="F576" s="28">
        <v>18.567933199999999</v>
      </c>
      <c r="G576" s="28">
        <v>20.0265621</v>
      </c>
      <c r="H576" s="28">
        <v>61.6563157</v>
      </c>
      <c r="I576" s="28">
        <v>37.009984299999999</v>
      </c>
      <c r="J576" s="28">
        <v>968.02912700000002</v>
      </c>
      <c r="K576" s="28">
        <v>947.07334700000001</v>
      </c>
      <c r="L576" s="28">
        <v>5.2880185500000003</v>
      </c>
      <c r="M576" s="28">
        <v>106.524389</v>
      </c>
      <c r="N576" s="28">
        <v>49.779351699999999</v>
      </c>
      <c r="O576" s="28">
        <v>1061.7139</v>
      </c>
      <c r="P576" s="28">
        <v>938.28610500000002</v>
      </c>
    </row>
    <row r="577" spans="1:16" x14ac:dyDescent="0.25">
      <c r="A577" s="40">
        <v>2</v>
      </c>
      <c r="B577" s="40">
        <v>71</v>
      </c>
      <c r="C577" s="28">
        <v>13.228626999999999</v>
      </c>
      <c r="D577" s="28">
        <v>6.5164010399999999</v>
      </c>
      <c r="E577" s="28">
        <v>29.525716299999999</v>
      </c>
      <c r="F577" s="28">
        <v>18.624779499999999</v>
      </c>
      <c r="G577" s="28">
        <v>20.335307</v>
      </c>
      <c r="H577" s="28">
        <v>61.079014999999998</v>
      </c>
      <c r="I577" s="28">
        <v>36.825878799999998</v>
      </c>
      <c r="J577" s="28">
        <v>971.87640499999998</v>
      </c>
      <c r="K577" s="28">
        <v>942.96719499999995</v>
      </c>
      <c r="L577" s="28">
        <v>5.3455442099999999</v>
      </c>
      <c r="M577" s="28">
        <v>106.17602100000001</v>
      </c>
      <c r="N577" s="28">
        <v>50.374339599999999</v>
      </c>
      <c r="O577" s="28">
        <v>1073.2637400000001</v>
      </c>
      <c r="P577" s="28">
        <v>926.73626000000002</v>
      </c>
    </row>
    <row r="578" spans="1:16" x14ac:dyDescent="0.25">
      <c r="A578" s="40">
        <v>2</v>
      </c>
      <c r="B578" s="40">
        <v>72</v>
      </c>
      <c r="C578" s="28">
        <v>13.1500925</v>
      </c>
      <c r="D578" s="28">
        <v>6.5052943000000001</v>
      </c>
      <c r="E578" s="28">
        <v>29.462703900000001</v>
      </c>
      <c r="F578" s="28">
        <v>18.7306059</v>
      </c>
      <c r="G578" s="28">
        <v>20.363007400000001</v>
      </c>
      <c r="H578" s="28">
        <v>59.538533600000001</v>
      </c>
      <c r="I578" s="28">
        <v>36.8402599</v>
      </c>
      <c r="J578" s="28">
        <v>968.60828700000002</v>
      </c>
      <c r="K578" s="28">
        <v>944.45190700000001</v>
      </c>
      <c r="L578" s="28">
        <v>5.4403162600000003</v>
      </c>
      <c r="M578" s="28">
        <v>105.694187</v>
      </c>
      <c r="N578" s="28">
        <v>51.122149</v>
      </c>
      <c r="O578" s="28">
        <v>1092.2918099999999</v>
      </c>
      <c r="P578" s="28">
        <v>907.70818699999995</v>
      </c>
    </row>
    <row r="579" spans="1:16" x14ac:dyDescent="0.25">
      <c r="A579" s="40">
        <v>2</v>
      </c>
      <c r="B579" s="40">
        <v>73</v>
      </c>
      <c r="C579" s="28">
        <v>13.0923765</v>
      </c>
      <c r="D579" s="28">
        <v>6.4328626499999997</v>
      </c>
      <c r="E579" s="28">
        <v>29.436914300000002</v>
      </c>
      <c r="F579" s="28">
        <v>18.838673799999999</v>
      </c>
      <c r="G579" s="28">
        <v>20.483756199999998</v>
      </c>
      <c r="H579" s="28">
        <v>59.622862499999997</v>
      </c>
      <c r="I579" s="28">
        <v>37.3223269</v>
      </c>
      <c r="J579" s="28">
        <v>971.86475600000006</v>
      </c>
      <c r="K579" s="28">
        <v>946.42406700000004</v>
      </c>
      <c r="L579" s="28">
        <v>5.4691758999999998</v>
      </c>
      <c r="M579" s="28">
        <v>106.266924</v>
      </c>
      <c r="N579" s="28">
        <v>52.328159200000002</v>
      </c>
      <c r="O579" s="28">
        <v>1098.08617</v>
      </c>
      <c r="P579" s="28">
        <v>901.91382799999997</v>
      </c>
    </row>
    <row r="580" spans="1:16" x14ac:dyDescent="0.25">
      <c r="A580" s="40">
        <v>2</v>
      </c>
      <c r="B580" s="40">
        <v>74</v>
      </c>
      <c r="C580" s="28">
        <v>13.0613618</v>
      </c>
      <c r="D580" s="28">
        <v>6.3801829999999997</v>
      </c>
      <c r="E580" s="28">
        <v>29.545078199999999</v>
      </c>
      <c r="F580" s="28">
        <v>19.035089299999999</v>
      </c>
      <c r="G580" s="28">
        <v>20.335006700000001</v>
      </c>
      <c r="H580" s="28">
        <v>59.319872099999998</v>
      </c>
      <c r="I580" s="28">
        <v>37.125496599999998</v>
      </c>
      <c r="J580" s="28">
        <v>968.48707999999999</v>
      </c>
      <c r="K580" s="28">
        <v>954.65592000000004</v>
      </c>
      <c r="L580" s="28">
        <v>5.4390308799999998</v>
      </c>
      <c r="M580" s="28">
        <v>106.05898000000001</v>
      </c>
      <c r="N580" s="28">
        <v>52.151397299999999</v>
      </c>
      <c r="O580" s="28">
        <v>1092.0337400000001</v>
      </c>
      <c r="P580" s="28">
        <v>907.96626300000003</v>
      </c>
    </row>
    <row r="581" spans="1:16" x14ac:dyDescent="0.25">
      <c r="A581" s="40">
        <v>2</v>
      </c>
      <c r="B581" s="40">
        <v>75</v>
      </c>
      <c r="C581" s="28">
        <v>13.010625900000001</v>
      </c>
      <c r="D581" s="28">
        <v>6.3704379099999997</v>
      </c>
      <c r="E581" s="28">
        <v>29.2159598</v>
      </c>
      <c r="F581" s="28">
        <v>18.982336499999999</v>
      </c>
      <c r="G581" s="28">
        <v>20.0358591</v>
      </c>
      <c r="H581" s="28">
        <v>59.603671200000001</v>
      </c>
      <c r="I581" s="28">
        <v>37.229894000000002</v>
      </c>
      <c r="J581" s="28">
        <v>972.51531399999999</v>
      </c>
      <c r="K581" s="28">
        <v>958.25394400000005</v>
      </c>
      <c r="L581" s="28">
        <v>5.5248310600000003</v>
      </c>
      <c r="M581" s="28">
        <v>106.927378</v>
      </c>
      <c r="N581" s="28">
        <v>52.706292900000001</v>
      </c>
      <c r="O581" s="28">
        <v>1109.26046</v>
      </c>
      <c r="P581" s="28">
        <v>890.73953800000004</v>
      </c>
    </row>
    <row r="582" spans="1:16" x14ac:dyDescent="0.25">
      <c r="A582" s="40">
        <v>2</v>
      </c>
      <c r="B582" s="40">
        <v>76</v>
      </c>
      <c r="C582" s="28">
        <v>13.148615700000001</v>
      </c>
      <c r="D582" s="28">
        <v>6.4167737100000002</v>
      </c>
      <c r="E582" s="28">
        <v>29.181144799999998</v>
      </c>
      <c r="F582" s="28">
        <v>19.245682899999998</v>
      </c>
      <c r="G582" s="28">
        <v>20.030754699999999</v>
      </c>
      <c r="H582" s="28">
        <v>60.070850299999996</v>
      </c>
      <c r="I582" s="28">
        <v>37.407308899999997</v>
      </c>
      <c r="J582" s="28">
        <v>969.19770100000005</v>
      </c>
      <c r="K582" s="28">
        <v>961.96034699999996</v>
      </c>
      <c r="L582" s="28">
        <v>5.3942450900000001</v>
      </c>
      <c r="M582" s="28">
        <v>106.518219</v>
      </c>
      <c r="N582" s="28">
        <v>52.014728099999999</v>
      </c>
      <c r="O582" s="28">
        <v>1083.04177</v>
      </c>
      <c r="P582" s="28">
        <v>916.95822999999996</v>
      </c>
    </row>
    <row r="583" spans="1:16" x14ac:dyDescent="0.25">
      <c r="A583" s="40">
        <v>2</v>
      </c>
      <c r="B583" s="40">
        <v>77</v>
      </c>
      <c r="C583" s="28">
        <v>13.2715081</v>
      </c>
      <c r="D583" s="28">
        <v>6.41209921</v>
      </c>
      <c r="E583" s="28">
        <v>29.3809875</v>
      </c>
      <c r="F583" s="28">
        <v>19.243983</v>
      </c>
      <c r="G583" s="28">
        <v>20.033856100000001</v>
      </c>
      <c r="H583" s="28">
        <v>60.605450500000003</v>
      </c>
      <c r="I583" s="28">
        <v>38.131512600000001</v>
      </c>
      <c r="J583" s="28">
        <v>972.619193</v>
      </c>
      <c r="K583" s="28">
        <v>966.07429100000002</v>
      </c>
      <c r="L583" s="28">
        <v>5.4001992300000001</v>
      </c>
      <c r="M583" s="28">
        <v>107.37751799999999</v>
      </c>
      <c r="N583" s="28">
        <v>52.674592599999997</v>
      </c>
      <c r="O583" s="28">
        <v>1084.23723</v>
      </c>
      <c r="P583" s="28">
        <v>915.76277500000003</v>
      </c>
    </row>
    <row r="584" spans="1:16" x14ac:dyDescent="0.25">
      <c r="A584" s="40">
        <v>2</v>
      </c>
      <c r="B584" s="40">
        <v>78</v>
      </c>
      <c r="C584" s="28">
        <v>13.276672899999999</v>
      </c>
      <c r="D584" s="28">
        <v>6.4605243100000003</v>
      </c>
      <c r="E584" s="28">
        <v>29.443606800000001</v>
      </c>
      <c r="F584" s="28">
        <v>19.363788899999999</v>
      </c>
      <c r="G584" s="28">
        <v>20.389673299999998</v>
      </c>
      <c r="H584" s="28">
        <v>60.004137499999999</v>
      </c>
      <c r="I584" s="28">
        <v>37.531288400000001</v>
      </c>
      <c r="J584" s="28">
        <v>969.76196400000003</v>
      </c>
      <c r="K584" s="28">
        <v>970.29409999999996</v>
      </c>
      <c r="L584" s="28">
        <v>5.3030869000000003</v>
      </c>
      <c r="M584" s="28">
        <v>107.724227</v>
      </c>
      <c r="N584" s="28">
        <v>51.882669800000002</v>
      </c>
      <c r="O584" s="28">
        <v>1064.73928</v>
      </c>
      <c r="P584" s="28">
        <v>935.26072299999998</v>
      </c>
    </row>
    <row r="585" spans="1:16" x14ac:dyDescent="0.25">
      <c r="A585" s="40">
        <v>2</v>
      </c>
      <c r="B585" s="40">
        <v>79</v>
      </c>
      <c r="C585" s="28">
        <v>13.2893401</v>
      </c>
      <c r="D585" s="28">
        <v>6.5238324900000002</v>
      </c>
      <c r="E585" s="28">
        <v>29.504054100000001</v>
      </c>
      <c r="F585" s="28">
        <v>19.502659699999999</v>
      </c>
      <c r="G585" s="28">
        <v>20.122889300000001</v>
      </c>
      <c r="H585" s="28">
        <v>60.251602699999999</v>
      </c>
      <c r="I585" s="28">
        <v>37.720056499999998</v>
      </c>
      <c r="J585" s="28">
        <v>973.129369</v>
      </c>
      <c r="K585" s="28">
        <v>968.77289599999995</v>
      </c>
      <c r="L585" s="28">
        <v>5.1978970699999998</v>
      </c>
      <c r="M585" s="28">
        <v>107.736994</v>
      </c>
      <c r="N585" s="28">
        <v>51.409844900000003</v>
      </c>
      <c r="O585" s="28">
        <v>1043.6195499999999</v>
      </c>
      <c r="P585" s="28">
        <v>956.380449</v>
      </c>
    </row>
    <row r="586" spans="1:16" x14ac:dyDescent="0.25">
      <c r="A586" s="40">
        <v>2</v>
      </c>
      <c r="B586" s="40">
        <v>80</v>
      </c>
      <c r="C586" s="28">
        <v>13.145772300000001</v>
      </c>
      <c r="D586" s="28">
        <v>6.5141145900000001</v>
      </c>
      <c r="E586" s="28">
        <v>29.192299899999998</v>
      </c>
      <c r="F586" s="28">
        <v>19.440116400000001</v>
      </c>
      <c r="G586" s="28">
        <v>19.954740999999999</v>
      </c>
      <c r="H586" s="28">
        <v>60.7034655</v>
      </c>
      <c r="I586" s="28">
        <v>37.192470900000004</v>
      </c>
      <c r="J586" s="28">
        <v>970.15059699999995</v>
      </c>
      <c r="K586" s="28">
        <v>966.67902700000002</v>
      </c>
      <c r="L586" s="28">
        <v>5.1977873900000002</v>
      </c>
      <c r="M586" s="28">
        <v>107.20710699999999</v>
      </c>
      <c r="N586" s="28">
        <v>53.242896500000001</v>
      </c>
      <c r="O586" s="28">
        <v>1043.59753</v>
      </c>
      <c r="P586" s="28">
        <v>956.40247099999999</v>
      </c>
    </row>
    <row r="587" spans="1:16" x14ac:dyDescent="0.25">
      <c r="A587" s="40">
        <v>2</v>
      </c>
      <c r="B587" s="40">
        <v>81</v>
      </c>
      <c r="C587" s="28">
        <v>13.131834</v>
      </c>
      <c r="D587" s="28">
        <v>6.4976124100000003</v>
      </c>
      <c r="E587" s="28">
        <v>29.0240668</v>
      </c>
      <c r="F587" s="28">
        <v>19.526640700000002</v>
      </c>
      <c r="G587" s="28">
        <v>19.781957899999998</v>
      </c>
      <c r="H587" s="28">
        <v>60.840815300000003</v>
      </c>
      <c r="I587" s="28">
        <v>36.877168699999999</v>
      </c>
      <c r="J587" s="28">
        <v>973.998063</v>
      </c>
      <c r="K587" s="28">
        <v>964.739778</v>
      </c>
      <c r="L587" s="28">
        <v>5.3228282499999997</v>
      </c>
      <c r="M587" s="28">
        <v>106.930909</v>
      </c>
      <c r="N587" s="28">
        <v>52.823132600000001</v>
      </c>
      <c r="O587" s="28">
        <v>1068.70289</v>
      </c>
      <c r="P587" s="28">
        <v>931.29710799999998</v>
      </c>
    </row>
    <row r="588" spans="1:16" x14ac:dyDescent="0.25">
      <c r="A588" s="40">
        <v>2</v>
      </c>
      <c r="B588" s="40">
        <v>82</v>
      </c>
      <c r="C588" s="28">
        <v>13.320103</v>
      </c>
      <c r="D588" s="28">
        <v>6.4866279799999997</v>
      </c>
      <c r="E588" s="28">
        <v>28.865372600000001</v>
      </c>
      <c r="F588" s="28">
        <v>19.3609969</v>
      </c>
      <c r="G588" s="28">
        <v>19.446896299999999</v>
      </c>
      <c r="H588" s="28">
        <v>60.213881499999999</v>
      </c>
      <c r="I588" s="28">
        <v>36.534929900000002</v>
      </c>
      <c r="J588" s="28">
        <v>972.49432999999999</v>
      </c>
      <c r="K588" s="28">
        <v>961.867437</v>
      </c>
      <c r="L588" s="28">
        <v>5.2740946600000003</v>
      </c>
      <c r="M588" s="28">
        <v>106.366601</v>
      </c>
      <c r="N588" s="28">
        <v>54.090490500000001</v>
      </c>
      <c r="O588" s="28">
        <v>1058.9182900000001</v>
      </c>
      <c r="P588" s="28">
        <v>941.08170600000005</v>
      </c>
    </row>
    <row r="589" spans="1:16" x14ac:dyDescent="0.25">
      <c r="A589" s="40">
        <v>2</v>
      </c>
      <c r="B589" s="40">
        <v>83</v>
      </c>
      <c r="C589" s="28">
        <v>13.3492222</v>
      </c>
      <c r="D589" s="28">
        <v>6.4700142300000003</v>
      </c>
      <c r="E589" s="28">
        <v>28.764489300000001</v>
      </c>
      <c r="F589" s="28">
        <v>19.1946099</v>
      </c>
      <c r="G589" s="28">
        <v>19.614591000000001</v>
      </c>
      <c r="H589" s="28">
        <v>60.978239000000002</v>
      </c>
      <c r="I589" s="28">
        <v>35.993241900000001</v>
      </c>
      <c r="J589" s="28">
        <v>976.60615600000006</v>
      </c>
      <c r="K589" s="28">
        <v>966.094697</v>
      </c>
      <c r="L589" s="28">
        <v>5.3166991100000001</v>
      </c>
      <c r="M589" s="28">
        <v>106.29929799999999</v>
      </c>
      <c r="N589" s="28">
        <v>54.357620799999999</v>
      </c>
      <c r="O589" s="28">
        <v>1067.4722999999999</v>
      </c>
      <c r="P589" s="28">
        <v>932.52770099999998</v>
      </c>
    </row>
    <row r="590" spans="1:16" x14ac:dyDescent="0.25">
      <c r="A590" s="40">
        <v>2</v>
      </c>
      <c r="B590" s="40">
        <v>84</v>
      </c>
      <c r="C590" s="28">
        <v>13.0439933</v>
      </c>
      <c r="D590" s="28">
        <v>6.3963403799999998</v>
      </c>
      <c r="E590" s="28">
        <v>29.101946999999999</v>
      </c>
      <c r="F590" s="28">
        <v>19.103794400000002</v>
      </c>
      <c r="G590" s="28">
        <v>19.357755300000001</v>
      </c>
      <c r="H590" s="28">
        <v>61.109721899999997</v>
      </c>
      <c r="I590" s="28">
        <v>36.017579699999999</v>
      </c>
      <c r="J590" s="28">
        <v>972.42014600000005</v>
      </c>
      <c r="K590" s="28">
        <v>965.36981800000001</v>
      </c>
      <c r="L590" s="28">
        <v>5.3813901599999996</v>
      </c>
      <c r="M590" s="28">
        <v>106.2619</v>
      </c>
      <c r="N590" s="28">
        <v>54.8853407</v>
      </c>
      <c r="O590" s="28">
        <v>1080.4607900000001</v>
      </c>
      <c r="P590" s="28">
        <v>919.53920900000003</v>
      </c>
    </row>
    <row r="591" spans="1:16" x14ac:dyDescent="0.25">
      <c r="A591" s="40">
        <v>2</v>
      </c>
      <c r="B591" s="40">
        <v>85</v>
      </c>
      <c r="C591" s="28">
        <v>12.9450579</v>
      </c>
      <c r="D591" s="28">
        <v>6.3652512300000001</v>
      </c>
      <c r="E591" s="28">
        <v>29.118841799999998</v>
      </c>
      <c r="F591" s="28">
        <v>19.029075899999999</v>
      </c>
      <c r="G591" s="28">
        <v>19.215728599999998</v>
      </c>
      <c r="H591" s="28">
        <v>61.1334722</v>
      </c>
      <c r="I591" s="28">
        <v>35.381450100000002</v>
      </c>
      <c r="J591" s="28">
        <v>976.23341600000003</v>
      </c>
      <c r="K591" s="28">
        <v>967.25177099999996</v>
      </c>
      <c r="L591" s="28">
        <v>5.3546700600000001</v>
      </c>
      <c r="M591" s="28">
        <v>105.025828</v>
      </c>
      <c r="N591" s="28">
        <v>54.948861399999998</v>
      </c>
      <c r="O591" s="28">
        <v>1075.096</v>
      </c>
      <c r="P591" s="28">
        <v>924.903997</v>
      </c>
    </row>
    <row r="592" spans="1:16" x14ac:dyDescent="0.25">
      <c r="A592" s="40">
        <v>2</v>
      </c>
      <c r="B592" s="40">
        <v>86</v>
      </c>
      <c r="C592" s="28">
        <v>13.1662398</v>
      </c>
      <c r="D592" s="28">
        <v>6.3561910199999998</v>
      </c>
      <c r="E592" s="28">
        <v>29.142279200000001</v>
      </c>
      <c r="F592" s="28">
        <v>19.073560799999999</v>
      </c>
      <c r="G592" s="28">
        <v>19.535073300000001</v>
      </c>
      <c r="H592" s="28">
        <v>60.385144500000003</v>
      </c>
      <c r="I592" s="28">
        <v>35.1117615</v>
      </c>
      <c r="J592" s="28">
        <v>974.26649499999996</v>
      </c>
      <c r="K592" s="28">
        <v>969.02391399999999</v>
      </c>
      <c r="L592" s="28">
        <v>5.3878652300000001</v>
      </c>
      <c r="M592" s="28">
        <v>105.634668</v>
      </c>
      <c r="N592" s="28">
        <v>55.501117700000002</v>
      </c>
      <c r="O592" s="28">
        <v>1081.7608399999999</v>
      </c>
      <c r="P592" s="28">
        <v>918.23916299999996</v>
      </c>
    </row>
    <row r="593" spans="1:16" x14ac:dyDescent="0.25">
      <c r="A593" s="40">
        <v>2</v>
      </c>
      <c r="B593" s="40">
        <v>87</v>
      </c>
      <c r="C593" s="28">
        <v>13.360921599999999</v>
      </c>
      <c r="D593" s="28">
        <v>6.3403650699999998</v>
      </c>
      <c r="E593" s="28">
        <v>29.32668</v>
      </c>
      <c r="F593" s="28">
        <v>19.0430083</v>
      </c>
      <c r="G593" s="28">
        <v>19.3291845</v>
      </c>
      <c r="H593" s="28">
        <v>59.850733300000002</v>
      </c>
      <c r="I593" s="28">
        <v>35.110753899999999</v>
      </c>
      <c r="J593" s="28">
        <v>978.58671400000003</v>
      </c>
      <c r="K593" s="28">
        <v>974.55405399999995</v>
      </c>
      <c r="L593" s="28">
        <v>5.3683441199999997</v>
      </c>
      <c r="M593" s="28">
        <v>105.501969</v>
      </c>
      <c r="N593" s="28">
        <v>56.8731121</v>
      </c>
      <c r="O593" s="28">
        <v>1077.8414399999999</v>
      </c>
      <c r="P593" s="28">
        <v>922.15855699999997</v>
      </c>
    </row>
    <row r="594" spans="1:16" x14ac:dyDescent="0.25">
      <c r="A594" s="40">
        <v>2</v>
      </c>
      <c r="B594" s="40">
        <v>88</v>
      </c>
      <c r="C594" s="28">
        <v>13.2931262</v>
      </c>
      <c r="D594" s="28">
        <v>6.3780649800000004</v>
      </c>
      <c r="E594" s="28">
        <v>29.052025799999999</v>
      </c>
      <c r="F594" s="28">
        <v>18.9459412</v>
      </c>
      <c r="G594" s="28">
        <v>19.466567399999999</v>
      </c>
      <c r="H594" s="28">
        <v>59.8798466</v>
      </c>
      <c r="I594" s="28">
        <v>35.0706135</v>
      </c>
      <c r="J594" s="28">
        <v>975.72178299999996</v>
      </c>
      <c r="K594" s="28">
        <v>973.16337899999996</v>
      </c>
      <c r="L594" s="28">
        <v>5.3766909700000003</v>
      </c>
      <c r="M594" s="28">
        <v>105.79576400000001</v>
      </c>
      <c r="N594" s="28">
        <v>55.1500263</v>
      </c>
      <c r="O594" s="28">
        <v>1079.5173</v>
      </c>
      <c r="P594" s="28">
        <v>920.48269900000003</v>
      </c>
    </row>
    <row r="595" spans="1:16" x14ac:dyDescent="0.25">
      <c r="A595" s="40">
        <v>2</v>
      </c>
      <c r="B595" s="40">
        <v>89</v>
      </c>
      <c r="C595" s="28">
        <v>13.2043061</v>
      </c>
      <c r="D595" s="28">
        <v>6.38354249</v>
      </c>
      <c r="E595" s="28">
        <v>28.670657500000001</v>
      </c>
      <c r="F595" s="28">
        <v>18.672708499999999</v>
      </c>
      <c r="G595" s="28">
        <v>19.407148599999999</v>
      </c>
      <c r="H595" s="28">
        <v>58.400390299999998</v>
      </c>
      <c r="I595" s="28">
        <v>34.8712716</v>
      </c>
      <c r="J595" s="28">
        <v>980.23009000000002</v>
      </c>
      <c r="K595" s="28">
        <v>972.71361300000001</v>
      </c>
      <c r="L595" s="28">
        <v>5.2696521499999998</v>
      </c>
      <c r="M595" s="28">
        <v>104.63479700000001</v>
      </c>
      <c r="N595" s="28">
        <v>54.814632199999998</v>
      </c>
      <c r="O595" s="28">
        <v>1058.0263399999999</v>
      </c>
      <c r="P595" s="28">
        <v>941.97366</v>
      </c>
    </row>
    <row r="596" spans="1:16" x14ac:dyDescent="0.25">
      <c r="A596" s="40">
        <v>2</v>
      </c>
      <c r="B596" s="40">
        <v>90</v>
      </c>
      <c r="C596" s="28">
        <v>13.274449499999999</v>
      </c>
      <c r="D596" s="28">
        <v>6.3983979399999997</v>
      </c>
      <c r="E596" s="28">
        <v>28.4394855</v>
      </c>
      <c r="F596" s="28">
        <v>18.8798268</v>
      </c>
      <c r="G596" s="28">
        <v>19.2899764</v>
      </c>
      <c r="H596" s="28">
        <v>58.352763400000001</v>
      </c>
      <c r="I596" s="28">
        <v>35.517263999999997</v>
      </c>
      <c r="J596" s="28">
        <v>976.96094300000004</v>
      </c>
      <c r="K596" s="28">
        <v>970.02929700000004</v>
      </c>
      <c r="L596" s="28">
        <v>5.3136838900000001</v>
      </c>
      <c r="M596" s="28">
        <v>105.292563</v>
      </c>
      <c r="N596" s="28">
        <v>55.180821000000002</v>
      </c>
      <c r="O596" s="28">
        <v>1066.86691</v>
      </c>
      <c r="P596" s="28">
        <v>933.13308900000004</v>
      </c>
    </row>
    <row r="597" spans="1:16" x14ac:dyDescent="0.25">
      <c r="A597" s="40">
        <v>2</v>
      </c>
      <c r="B597" s="40">
        <v>91</v>
      </c>
      <c r="C597" s="28">
        <v>13.2712448</v>
      </c>
      <c r="D597" s="28">
        <v>6.4526019799999998</v>
      </c>
      <c r="E597" s="28">
        <v>28.689822800000002</v>
      </c>
      <c r="F597" s="28">
        <v>18.788833100000002</v>
      </c>
      <c r="G597" s="28">
        <v>19.151861799999999</v>
      </c>
      <c r="H597" s="28">
        <v>59.024207799999999</v>
      </c>
      <c r="I597" s="28">
        <v>35.701407600000003</v>
      </c>
      <c r="J597" s="28">
        <v>979.99069599999996</v>
      </c>
      <c r="K597" s="28">
        <v>967.02649599999995</v>
      </c>
      <c r="L597" s="28">
        <v>5.2972581500000002</v>
      </c>
      <c r="M597" s="28">
        <v>105.75185500000001</v>
      </c>
      <c r="N597" s="28">
        <v>54.8434819</v>
      </c>
      <c r="O597" s="28">
        <v>1063.569</v>
      </c>
      <c r="P597" s="28">
        <v>936.43100300000003</v>
      </c>
    </row>
    <row r="598" spans="1:16" x14ac:dyDescent="0.25">
      <c r="A598" s="40">
        <v>2</v>
      </c>
      <c r="B598" s="40">
        <v>92</v>
      </c>
      <c r="C598" s="28">
        <v>13.200840599999999</v>
      </c>
      <c r="D598" s="28">
        <v>6.4043206100000001</v>
      </c>
      <c r="E598" s="28">
        <v>28.4817842</v>
      </c>
      <c r="F598" s="28">
        <v>18.755404800000001</v>
      </c>
      <c r="G598" s="28">
        <v>18.955844299999999</v>
      </c>
      <c r="H598" s="28">
        <v>59.726447800000003</v>
      </c>
      <c r="I598" s="28">
        <v>35.271853999999998</v>
      </c>
      <c r="J598" s="28">
        <v>977.17493300000001</v>
      </c>
      <c r="K598" s="28">
        <v>972.39700900000003</v>
      </c>
      <c r="L598" s="28">
        <v>5.4766824400000003</v>
      </c>
      <c r="M598" s="28">
        <v>105.624099</v>
      </c>
      <c r="N598" s="28">
        <v>55.029441900000002</v>
      </c>
      <c r="O598" s="28">
        <v>1099.59331</v>
      </c>
      <c r="P598" s="28">
        <v>900.40668500000004</v>
      </c>
    </row>
    <row r="599" spans="1:16" x14ac:dyDescent="0.25">
      <c r="A599" s="40">
        <v>2</v>
      </c>
      <c r="B599" s="40">
        <v>93</v>
      </c>
      <c r="C599" s="28">
        <v>13.157030199999999</v>
      </c>
      <c r="D599" s="28">
        <v>6.4763518900000001</v>
      </c>
      <c r="E599" s="28">
        <v>28.5635029</v>
      </c>
      <c r="F599" s="28">
        <v>18.788838899999998</v>
      </c>
      <c r="G599" s="28">
        <v>19.191521000000002</v>
      </c>
      <c r="H599" s="28">
        <v>60.7764126</v>
      </c>
      <c r="I599" s="28">
        <v>34.955377200000001</v>
      </c>
      <c r="J599" s="28">
        <v>980.077223</v>
      </c>
      <c r="K599" s="28">
        <v>972.34724800000004</v>
      </c>
      <c r="L599" s="28">
        <v>5.3840219899999999</v>
      </c>
      <c r="M599" s="28">
        <v>104.99261199999999</v>
      </c>
      <c r="N599" s="28">
        <v>54.657618100000001</v>
      </c>
      <c r="O599" s="28">
        <v>1080.9892</v>
      </c>
      <c r="P599" s="28">
        <v>919.01079600000003</v>
      </c>
    </row>
    <row r="600" spans="1:16" x14ac:dyDescent="0.25">
      <c r="A600" s="40">
        <v>2</v>
      </c>
      <c r="B600" s="40">
        <v>94</v>
      </c>
      <c r="C600" s="28">
        <v>13.1985379</v>
      </c>
      <c r="D600" s="28">
        <v>6.4603002500000004</v>
      </c>
      <c r="E600" s="28">
        <v>28.691399499999999</v>
      </c>
      <c r="F600" s="28">
        <v>18.947748799999999</v>
      </c>
      <c r="G600" s="28">
        <v>19.4424907</v>
      </c>
      <c r="H600" s="28">
        <v>61.198646500000002</v>
      </c>
      <c r="I600" s="28">
        <v>34.9939921</v>
      </c>
      <c r="J600" s="28">
        <v>976.81549900000005</v>
      </c>
      <c r="K600" s="28">
        <v>972.12790099999995</v>
      </c>
      <c r="L600" s="28">
        <v>5.32503189</v>
      </c>
      <c r="M600" s="28">
        <v>105.589882</v>
      </c>
      <c r="N600" s="28">
        <v>54.181365499999998</v>
      </c>
      <c r="O600" s="28">
        <v>1069.1453300000001</v>
      </c>
      <c r="P600" s="28">
        <v>930.85466799999995</v>
      </c>
    </row>
    <row r="601" spans="1:16" x14ac:dyDescent="0.25">
      <c r="A601" s="40">
        <v>2</v>
      </c>
      <c r="B601" s="40">
        <v>95</v>
      </c>
      <c r="C601" s="28">
        <v>13.190778</v>
      </c>
      <c r="D601" s="28">
        <v>6.5418101699999998</v>
      </c>
      <c r="E601" s="28">
        <v>28.760048600000001</v>
      </c>
      <c r="F601" s="28">
        <v>18.7760161</v>
      </c>
      <c r="G601" s="28">
        <v>19.390649199999999</v>
      </c>
      <c r="H601" s="28">
        <v>60.7848574</v>
      </c>
      <c r="I601" s="28">
        <v>34.885668699999997</v>
      </c>
      <c r="J601" s="28">
        <v>980.53144199999997</v>
      </c>
      <c r="K601" s="28">
        <v>976.70326499999999</v>
      </c>
      <c r="L601" s="28">
        <v>5.3694721400000001</v>
      </c>
      <c r="M601" s="28">
        <v>105.150578</v>
      </c>
      <c r="N601" s="28">
        <v>53.969696200000001</v>
      </c>
      <c r="O601" s="28">
        <v>1078.06792</v>
      </c>
      <c r="P601" s="28">
        <v>921.93207700000005</v>
      </c>
    </row>
    <row r="602" spans="1:16" x14ac:dyDescent="0.25">
      <c r="A602" s="40">
        <v>2</v>
      </c>
      <c r="B602" s="40">
        <v>96</v>
      </c>
      <c r="C602" s="28">
        <v>13.2512212</v>
      </c>
      <c r="D602" s="28">
        <v>6.4643705599999999</v>
      </c>
      <c r="E602" s="28">
        <v>28.464226499999999</v>
      </c>
      <c r="F602" s="28">
        <v>18.5860263</v>
      </c>
      <c r="G602" s="28">
        <v>19.400520799999999</v>
      </c>
      <c r="H602" s="28">
        <v>61.502757899999999</v>
      </c>
      <c r="I602" s="28">
        <v>34.952867599999998</v>
      </c>
      <c r="J602" s="28">
        <v>978.21637799999996</v>
      </c>
      <c r="K602" s="28">
        <v>981.04495199999997</v>
      </c>
      <c r="L602" s="28">
        <v>5.4994182599999997</v>
      </c>
      <c r="M602" s="28">
        <v>105.94962599999999</v>
      </c>
      <c r="N602" s="28">
        <v>54.7623532</v>
      </c>
      <c r="O602" s="28">
        <v>1104.15815</v>
      </c>
      <c r="P602" s="28">
        <v>895.84184900000002</v>
      </c>
    </row>
    <row r="603" spans="1:16" x14ac:dyDescent="0.25">
      <c r="A603" s="40">
        <v>2</v>
      </c>
      <c r="B603" s="40">
        <v>97</v>
      </c>
      <c r="C603" s="28">
        <v>13.136627499999999</v>
      </c>
      <c r="D603" s="28">
        <v>6.4445459600000001</v>
      </c>
      <c r="E603" s="28">
        <v>28.436247399999999</v>
      </c>
      <c r="F603" s="28">
        <v>18.813350499999999</v>
      </c>
      <c r="G603" s="28">
        <v>19.331210200000001</v>
      </c>
      <c r="H603" s="28">
        <v>61.842967600000001</v>
      </c>
      <c r="I603" s="28">
        <v>34.959205799999999</v>
      </c>
      <c r="J603" s="28">
        <v>980.72327600000006</v>
      </c>
      <c r="K603" s="28">
        <v>977.27608699999996</v>
      </c>
      <c r="L603" s="28">
        <v>5.4740692400000004</v>
      </c>
      <c r="M603" s="28">
        <v>105.805826</v>
      </c>
      <c r="N603" s="28">
        <v>55.547922100000001</v>
      </c>
      <c r="O603" s="28">
        <v>1099.06864</v>
      </c>
      <c r="P603" s="28">
        <v>900.93135600000005</v>
      </c>
    </row>
    <row r="604" spans="1:16" x14ac:dyDescent="0.25">
      <c r="A604" s="40">
        <v>2</v>
      </c>
      <c r="B604" s="40">
        <v>98</v>
      </c>
      <c r="C604" s="28">
        <v>13.30227</v>
      </c>
      <c r="D604" s="28">
        <v>6.4936411200000004</v>
      </c>
      <c r="E604" s="28">
        <v>28.569051200000001</v>
      </c>
      <c r="F604" s="28">
        <v>18.762128499999999</v>
      </c>
      <c r="G604" s="28">
        <v>19.3334142</v>
      </c>
      <c r="H604" s="28">
        <v>61.205935099999998</v>
      </c>
      <c r="I604" s="28">
        <v>35.070631599999999</v>
      </c>
      <c r="J604" s="28">
        <v>978.688041</v>
      </c>
      <c r="K604" s="28">
        <v>969.99314300000003</v>
      </c>
      <c r="L604" s="28">
        <v>5.4948944600000003</v>
      </c>
      <c r="M604" s="28">
        <v>105.84648</v>
      </c>
      <c r="N604" s="28">
        <v>56.374850100000003</v>
      </c>
      <c r="O604" s="28">
        <v>1103.2498800000001</v>
      </c>
      <c r="P604" s="28">
        <v>896.75012500000003</v>
      </c>
    </row>
    <row r="605" spans="1:16" x14ac:dyDescent="0.25">
      <c r="A605" s="40">
        <v>2</v>
      </c>
      <c r="B605" s="40">
        <v>99</v>
      </c>
      <c r="C605" s="28">
        <v>13.293110199999999</v>
      </c>
      <c r="D605" s="28">
        <v>6.5295515799999997</v>
      </c>
      <c r="E605" s="28">
        <v>28.666650700000002</v>
      </c>
      <c r="F605" s="28">
        <v>18.718372299999999</v>
      </c>
      <c r="G605" s="28">
        <v>19.3247301</v>
      </c>
      <c r="H605" s="28">
        <v>62.323907300000002</v>
      </c>
      <c r="I605" s="28">
        <v>35.354182799999997</v>
      </c>
      <c r="J605" s="28">
        <v>981.30285000000003</v>
      </c>
      <c r="K605" s="28">
        <v>971.00905399999999</v>
      </c>
      <c r="L605" s="28">
        <v>5.4634445300000003</v>
      </c>
      <c r="M605" s="28">
        <v>105.32287700000001</v>
      </c>
      <c r="N605" s="28">
        <v>55.755811799999996</v>
      </c>
      <c r="O605" s="28">
        <v>1096.93544</v>
      </c>
      <c r="P605" s="28">
        <v>903.06455700000004</v>
      </c>
    </row>
    <row r="606" spans="1:16" x14ac:dyDescent="0.25">
      <c r="A606" s="40">
        <v>2</v>
      </c>
      <c r="B606" s="40">
        <v>100</v>
      </c>
      <c r="C606" s="28">
        <v>13.1546538</v>
      </c>
      <c r="D606" s="28">
        <v>6.5250969300000001</v>
      </c>
      <c r="E606" s="28">
        <v>28.748444899999999</v>
      </c>
      <c r="F606" s="28">
        <v>18.811478999999999</v>
      </c>
      <c r="G606" s="28">
        <v>19.219576199999999</v>
      </c>
      <c r="H606" s="28">
        <v>62.736730799999997</v>
      </c>
      <c r="I606" s="28">
        <v>35.274569100000001</v>
      </c>
      <c r="J606" s="28">
        <v>977.93616199999997</v>
      </c>
      <c r="K606" s="28">
        <v>966.12156200000004</v>
      </c>
      <c r="L606" s="28">
        <v>5.4874703299999998</v>
      </c>
      <c r="M606" s="28">
        <v>104.415043</v>
      </c>
      <c r="N606" s="28">
        <v>55.392754400000001</v>
      </c>
      <c r="O606" s="28">
        <v>1101.75928</v>
      </c>
      <c r="P606" s="28">
        <v>898.240723</v>
      </c>
    </row>
    <row r="607" spans="1:16" x14ac:dyDescent="0.25">
      <c r="A607" s="40">
        <v>2</v>
      </c>
      <c r="B607" s="40">
        <v>101</v>
      </c>
      <c r="C607" s="28">
        <v>13.1215226</v>
      </c>
      <c r="D607" s="28">
        <v>6.4936924999999999</v>
      </c>
      <c r="E607" s="28">
        <v>28.720507699999999</v>
      </c>
      <c r="F607" s="28">
        <v>18.806479800000002</v>
      </c>
      <c r="G607" s="28">
        <v>19.280416200000001</v>
      </c>
      <c r="H607" s="28">
        <v>63.251182</v>
      </c>
      <c r="I607" s="28">
        <v>34.669815</v>
      </c>
      <c r="J607" s="28">
        <v>981.33033</v>
      </c>
      <c r="K607" s="28">
        <v>962.26400799999999</v>
      </c>
      <c r="L607" s="28">
        <v>5.5839455400000002</v>
      </c>
      <c r="M607" s="28">
        <v>104.685288</v>
      </c>
      <c r="N607" s="28">
        <v>55.115270600000002</v>
      </c>
      <c r="O607" s="28">
        <v>1121.12931</v>
      </c>
      <c r="P607" s="28">
        <v>878.87069399999996</v>
      </c>
    </row>
    <row r="608" spans="1:16" x14ac:dyDescent="0.25">
      <c r="A608" s="40">
        <v>2</v>
      </c>
      <c r="B608" s="40">
        <v>102</v>
      </c>
      <c r="C608" s="28">
        <v>12.970804599999999</v>
      </c>
      <c r="D608" s="28">
        <v>6.4888968399999998</v>
      </c>
      <c r="E608" s="28">
        <v>28.7163483</v>
      </c>
      <c r="F608" s="28">
        <v>18.813566699999999</v>
      </c>
      <c r="G608" s="28">
        <v>19.1456339</v>
      </c>
      <c r="H608" s="28">
        <v>63.433436299999997</v>
      </c>
      <c r="I608" s="28">
        <v>34.079800499999997</v>
      </c>
      <c r="J608" s="28">
        <v>978.60590200000001</v>
      </c>
      <c r="K608" s="28">
        <v>968.352622</v>
      </c>
      <c r="L608" s="28">
        <v>5.5155857199999998</v>
      </c>
      <c r="M608" s="28">
        <v>104.340188</v>
      </c>
      <c r="N608" s="28">
        <v>54.4814054</v>
      </c>
      <c r="O608" s="28">
        <v>1107.4042099999999</v>
      </c>
      <c r="P608" s="28">
        <v>892.59579099999996</v>
      </c>
    </row>
    <row r="609" spans="1:16" x14ac:dyDescent="0.25">
      <c r="A609" s="40">
        <v>2</v>
      </c>
      <c r="B609" s="40">
        <v>103</v>
      </c>
      <c r="C609" s="28">
        <v>12.973879699999999</v>
      </c>
      <c r="D609" s="28">
        <v>6.49979204</v>
      </c>
      <c r="E609" s="28">
        <v>28.6030503</v>
      </c>
      <c r="F609" s="28">
        <v>18.977115000000001</v>
      </c>
      <c r="G609" s="28">
        <v>19.314306899999998</v>
      </c>
      <c r="H609" s="28">
        <v>63.930042299999997</v>
      </c>
      <c r="I609" s="28">
        <v>34.500792400000002</v>
      </c>
      <c r="J609" s="28">
        <v>981.10873500000002</v>
      </c>
      <c r="K609" s="28">
        <v>970.74941699999999</v>
      </c>
      <c r="L609" s="28">
        <v>5.4233867800000004</v>
      </c>
      <c r="M609" s="28">
        <v>104.439122</v>
      </c>
      <c r="N609" s="28">
        <v>53.146704100000001</v>
      </c>
      <c r="O609" s="28">
        <v>1088.89276</v>
      </c>
      <c r="P609" s="28">
        <v>911.10724200000004</v>
      </c>
    </row>
    <row r="610" spans="1:16" x14ac:dyDescent="0.25">
      <c r="A610" s="40">
        <v>2</v>
      </c>
      <c r="B610" s="40">
        <v>104</v>
      </c>
      <c r="C610" s="28">
        <v>13.098591300000001</v>
      </c>
      <c r="D610" s="28">
        <v>6.4109746200000002</v>
      </c>
      <c r="E610" s="28">
        <v>28.959875</v>
      </c>
      <c r="F610" s="28">
        <v>18.952693100000001</v>
      </c>
      <c r="G610" s="28">
        <v>19.133138599999999</v>
      </c>
      <c r="H610" s="28">
        <v>64.259723100000002</v>
      </c>
      <c r="I610" s="28">
        <v>33.5684495</v>
      </c>
      <c r="J610" s="28">
        <v>979.34239000000002</v>
      </c>
      <c r="K610" s="28">
        <v>968.96254099999999</v>
      </c>
      <c r="L610" s="28">
        <v>5.4386536599999999</v>
      </c>
      <c r="M610" s="28">
        <v>104.199433</v>
      </c>
      <c r="N610" s="28">
        <v>53.736999699999998</v>
      </c>
      <c r="O610" s="28">
        <v>1091.9580000000001</v>
      </c>
      <c r="P610" s="28">
        <v>908.04199900000003</v>
      </c>
    </row>
    <row r="611" spans="1:16" x14ac:dyDescent="0.25">
      <c r="A611" s="40">
        <v>2</v>
      </c>
      <c r="B611" s="40">
        <v>105</v>
      </c>
      <c r="C611" s="28">
        <v>13.148221400000001</v>
      </c>
      <c r="D611" s="28">
        <v>6.4596768000000004</v>
      </c>
      <c r="E611" s="28">
        <v>29.158815400000002</v>
      </c>
      <c r="F611" s="28">
        <v>18.9527188</v>
      </c>
      <c r="G611" s="28">
        <v>19.0485066</v>
      </c>
      <c r="H611" s="28">
        <v>65.071302399999993</v>
      </c>
      <c r="I611" s="28">
        <v>33.373506300000003</v>
      </c>
      <c r="J611" s="28">
        <v>982.33829800000001</v>
      </c>
      <c r="K611" s="28">
        <v>965.88043200000004</v>
      </c>
      <c r="L611" s="28">
        <v>5.4290778599999996</v>
      </c>
      <c r="M611" s="28">
        <v>104.21047900000001</v>
      </c>
      <c r="N611" s="28">
        <v>53.948525600000004</v>
      </c>
      <c r="O611" s="28">
        <v>1090.0354</v>
      </c>
      <c r="P611" s="28">
        <v>909.96460300000001</v>
      </c>
    </row>
    <row r="612" spans="1:16" x14ac:dyDescent="0.25">
      <c r="A612" s="40">
        <v>2</v>
      </c>
      <c r="B612" s="40">
        <v>106</v>
      </c>
      <c r="C612" s="28">
        <v>12.988220399999999</v>
      </c>
      <c r="D612" s="28">
        <v>6.4406367099999997</v>
      </c>
      <c r="E612" s="28">
        <v>29.2300869</v>
      </c>
      <c r="F612" s="28">
        <v>18.828121100000001</v>
      </c>
      <c r="G612" s="28">
        <v>19.018667499999999</v>
      </c>
      <c r="H612" s="28">
        <v>65.230240199999997</v>
      </c>
      <c r="I612" s="28">
        <v>33.031993100000001</v>
      </c>
      <c r="J612" s="28">
        <v>979.60980500000005</v>
      </c>
      <c r="K612" s="28">
        <v>963.19921699999998</v>
      </c>
      <c r="L612" s="28">
        <v>5.4246940300000004</v>
      </c>
      <c r="M612" s="28">
        <v>104.283348</v>
      </c>
      <c r="N612" s="28">
        <v>53.181237799999998</v>
      </c>
      <c r="O612" s="28">
        <v>1089.1552200000001</v>
      </c>
      <c r="P612" s="28">
        <v>910.84477700000002</v>
      </c>
    </row>
    <row r="613" spans="1:16" x14ac:dyDescent="0.25">
      <c r="A613" s="40">
        <v>2</v>
      </c>
      <c r="B613" s="40">
        <v>107</v>
      </c>
      <c r="C613" s="28">
        <v>12.910606700000001</v>
      </c>
      <c r="D613" s="28">
        <v>6.5168635699999999</v>
      </c>
      <c r="E613" s="28">
        <v>29.442806000000001</v>
      </c>
      <c r="F613" s="28">
        <v>19.012989300000001</v>
      </c>
      <c r="G613" s="28">
        <v>19.151487700000001</v>
      </c>
      <c r="H613" s="28">
        <v>65.9957706</v>
      </c>
      <c r="I613" s="28">
        <v>33.4287359</v>
      </c>
      <c r="J613" s="28">
        <v>981.35264600000005</v>
      </c>
      <c r="K613" s="28">
        <v>965.55373399999996</v>
      </c>
      <c r="L613" s="28">
        <v>5.5464998000000003</v>
      </c>
      <c r="M613" s="28">
        <v>104.689374</v>
      </c>
      <c r="N613" s="28">
        <v>53.731050500000002</v>
      </c>
      <c r="O613" s="28">
        <v>1113.61105</v>
      </c>
      <c r="P613" s="28">
        <v>886.38894700000003</v>
      </c>
    </row>
    <row r="614" spans="1:16" x14ac:dyDescent="0.25">
      <c r="A614" s="40">
        <v>2</v>
      </c>
      <c r="B614" s="40">
        <v>108</v>
      </c>
      <c r="C614" s="28">
        <v>12.9833433</v>
      </c>
      <c r="D614" s="28">
        <v>6.55988755</v>
      </c>
      <c r="E614" s="28">
        <v>29.730843700000001</v>
      </c>
      <c r="F614" s="28">
        <v>18.995043899999999</v>
      </c>
      <c r="G614" s="28">
        <v>19.385913200000001</v>
      </c>
      <c r="H614" s="28">
        <v>65.856344000000007</v>
      </c>
      <c r="I614" s="28">
        <v>32.923054499999999</v>
      </c>
      <c r="J614" s="28">
        <v>979.23962900000004</v>
      </c>
      <c r="K614" s="28">
        <v>961.41056300000002</v>
      </c>
      <c r="L614" s="28">
        <v>5.5609985499999999</v>
      </c>
      <c r="M614" s="28">
        <v>105.412864</v>
      </c>
      <c r="N614" s="28">
        <v>52.944477900000003</v>
      </c>
      <c r="O614" s="28">
        <v>1116.52207</v>
      </c>
      <c r="P614" s="28">
        <v>883.47792700000002</v>
      </c>
    </row>
    <row r="615" spans="1:16" x14ac:dyDescent="0.25">
      <c r="A615" s="40">
        <v>2</v>
      </c>
      <c r="B615" s="40">
        <v>109</v>
      </c>
      <c r="C615" s="28">
        <v>12.912779499999999</v>
      </c>
      <c r="D615" s="28">
        <v>6.5892750500000004</v>
      </c>
      <c r="E615" s="28">
        <v>29.376921400000001</v>
      </c>
      <c r="F615" s="28">
        <v>18.689093700000001</v>
      </c>
      <c r="G615" s="28">
        <v>19.666747699999998</v>
      </c>
      <c r="H615" s="28">
        <v>66.770629200000002</v>
      </c>
      <c r="I615" s="28">
        <v>33.076565899999999</v>
      </c>
      <c r="J615" s="28">
        <v>982.26007900000002</v>
      </c>
      <c r="K615" s="28">
        <v>966.691821</v>
      </c>
      <c r="L615" s="28">
        <v>5.5422531599999996</v>
      </c>
      <c r="M615" s="28">
        <v>106.00872699999999</v>
      </c>
      <c r="N615" s="28">
        <v>54.016106999999998</v>
      </c>
      <c r="O615" s="28">
        <v>1112.7584199999999</v>
      </c>
      <c r="P615" s="28">
        <v>887.24157600000001</v>
      </c>
    </row>
    <row r="616" spans="1:16" x14ac:dyDescent="0.25">
      <c r="A616" s="40">
        <v>2</v>
      </c>
      <c r="B616" s="40">
        <v>110</v>
      </c>
      <c r="C616" s="28">
        <v>12.911514499999999</v>
      </c>
      <c r="D616" s="28">
        <v>6.6263880999999998</v>
      </c>
      <c r="E616" s="28">
        <v>29.230945599999998</v>
      </c>
      <c r="F616" s="28">
        <v>18.680673500000001</v>
      </c>
      <c r="G616" s="28">
        <v>19.9789013</v>
      </c>
      <c r="H616" s="28">
        <v>67.665402499999999</v>
      </c>
      <c r="I616" s="28">
        <v>33.317961799999999</v>
      </c>
      <c r="J616" s="28">
        <v>979.34293000000002</v>
      </c>
      <c r="K616" s="28">
        <v>966.93468900000005</v>
      </c>
      <c r="L616" s="28">
        <v>5.5797793100000002</v>
      </c>
      <c r="M616" s="28">
        <v>106.702898</v>
      </c>
      <c r="N616" s="28">
        <v>53.297584399999998</v>
      </c>
      <c r="O616" s="28">
        <v>1120.2928199999999</v>
      </c>
      <c r="P616" s="28">
        <v>879.707178</v>
      </c>
    </row>
    <row r="617" spans="1:16" x14ac:dyDescent="0.25">
      <c r="A617" s="40">
        <v>2</v>
      </c>
      <c r="B617" s="40">
        <v>111</v>
      </c>
      <c r="C617" s="28">
        <v>12.8991562</v>
      </c>
      <c r="D617" s="28">
        <v>6.5955950400000001</v>
      </c>
      <c r="E617" s="28">
        <v>29.206803499999999</v>
      </c>
      <c r="F617" s="28">
        <v>18.905125099999999</v>
      </c>
      <c r="G617" s="28">
        <v>19.617380600000001</v>
      </c>
      <c r="H617" s="28">
        <v>66.912237099999999</v>
      </c>
      <c r="I617" s="28">
        <v>33.458327699999998</v>
      </c>
      <c r="J617" s="28">
        <v>982.21136999999999</v>
      </c>
      <c r="K617" s="28">
        <v>966.78978600000005</v>
      </c>
      <c r="L617" s="28">
        <v>5.4632487799999998</v>
      </c>
      <c r="M617" s="28">
        <v>107.018792</v>
      </c>
      <c r="N617" s="28">
        <v>52.683053600000001</v>
      </c>
      <c r="O617" s="28">
        <v>1096.8961400000001</v>
      </c>
      <c r="P617" s="28">
        <v>903.10385799999995</v>
      </c>
    </row>
    <row r="618" spans="1:16" x14ac:dyDescent="0.25">
      <c r="A618" s="40">
        <v>2</v>
      </c>
      <c r="B618" s="40">
        <v>112</v>
      </c>
      <c r="C618" s="28">
        <v>12.880758399999999</v>
      </c>
      <c r="D618" s="28">
        <v>6.6344533200000004</v>
      </c>
      <c r="E618" s="28">
        <v>29.358028099999999</v>
      </c>
      <c r="F618" s="28">
        <v>19.046605599999999</v>
      </c>
      <c r="G618" s="28">
        <v>19.357416000000001</v>
      </c>
      <c r="H618" s="28">
        <v>67.465305499999999</v>
      </c>
      <c r="I618" s="28">
        <v>33.379973499999998</v>
      </c>
      <c r="J618" s="28">
        <v>979.31893000000002</v>
      </c>
      <c r="K618" s="28">
        <v>970.31503499999997</v>
      </c>
      <c r="L618" s="28">
        <v>5.5454405199999997</v>
      </c>
      <c r="M618" s="28">
        <v>107.684702</v>
      </c>
      <c r="N618" s="28">
        <v>53.582255699999997</v>
      </c>
      <c r="O618" s="28">
        <v>1113.3983700000001</v>
      </c>
      <c r="P618" s="28">
        <v>886.60162600000001</v>
      </c>
    </row>
    <row r="619" spans="1:16" x14ac:dyDescent="0.25">
      <c r="A619" s="40">
        <v>2</v>
      </c>
      <c r="B619" s="40">
        <v>113</v>
      </c>
      <c r="C619" s="28">
        <v>12.831245600000001</v>
      </c>
      <c r="D619" s="28">
        <v>6.6800336099999997</v>
      </c>
      <c r="E619" s="28">
        <v>29.2344562</v>
      </c>
      <c r="F619" s="28">
        <v>19.235026300000001</v>
      </c>
      <c r="G619" s="28">
        <v>19.368591500000001</v>
      </c>
      <c r="H619" s="28">
        <v>66.619204999999994</v>
      </c>
      <c r="I619" s="28">
        <v>33.752813199999999</v>
      </c>
      <c r="J619" s="28">
        <v>981.88183200000003</v>
      </c>
      <c r="K619" s="28">
        <v>968.85966099999996</v>
      </c>
      <c r="L619" s="28">
        <v>5.5349252399999997</v>
      </c>
      <c r="M619" s="28">
        <v>107.930618</v>
      </c>
      <c r="N619" s="28">
        <v>54.048893800000002</v>
      </c>
      <c r="O619" s="28">
        <v>1111.2871399999999</v>
      </c>
      <c r="P619" s="28">
        <v>888.71285599999999</v>
      </c>
    </row>
    <row r="620" spans="1:16" x14ac:dyDescent="0.25">
      <c r="A620" s="40">
        <v>2</v>
      </c>
      <c r="B620" s="40">
        <v>114</v>
      </c>
      <c r="C620" s="28">
        <v>12.752603799999999</v>
      </c>
      <c r="D620" s="28">
        <v>6.7450951999999997</v>
      </c>
      <c r="E620" s="28">
        <v>29.514769900000001</v>
      </c>
      <c r="F620" s="28">
        <v>19.441345200000001</v>
      </c>
      <c r="G620" s="28">
        <v>19.202516800000001</v>
      </c>
      <c r="H620" s="28">
        <v>67.736732900000007</v>
      </c>
      <c r="I620" s="28">
        <v>33.798945000000003</v>
      </c>
      <c r="J620" s="28">
        <v>978.30963699999995</v>
      </c>
      <c r="K620" s="28">
        <v>968.88883699999997</v>
      </c>
      <c r="L620" s="28">
        <v>5.41724491</v>
      </c>
      <c r="M620" s="28">
        <v>107.49843</v>
      </c>
      <c r="N620" s="28">
        <v>53.437815499999999</v>
      </c>
      <c r="O620" s="28">
        <v>1087.6596099999999</v>
      </c>
      <c r="P620" s="28">
        <v>912.34038999999996</v>
      </c>
    </row>
    <row r="621" spans="1:16" x14ac:dyDescent="0.25">
      <c r="A621" s="40">
        <v>2</v>
      </c>
      <c r="B621" s="40">
        <v>115</v>
      </c>
      <c r="C621" s="28">
        <v>12.7695492</v>
      </c>
      <c r="D621" s="28">
        <v>6.7507956499999997</v>
      </c>
      <c r="E621" s="28">
        <v>29.427074999999999</v>
      </c>
      <c r="F621" s="28">
        <v>19.6400595</v>
      </c>
      <c r="G621" s="28">
        <v>19.235630100000002</v>
      </c>
      <c r="H621" s="28">
        <v>68.428338400000001</v>
      </c>
      <c r="I621" s="28">
        <v>33.405897600000003</v>
      </c>
      <c r="J621" s="28">
        <v>981.19713300000001</v>
      </c>
      <c r="K621" s="28">
        <v>974.97350100000006</v>
      </c>
      <c r="L621" s="28">
        <v>5.2679706499999996</v>
      </c>
      <c r="M621" s="28">
        <v>108.241535</v>
      </c>
      <c r="N621" s="28">
        <v>53.182247799999999</v>
      </c>
      <c r="O621" s="28">
        <v>1057.6887300000001</v>
      </c>
      <c r="P621" s="28">
        <v>942.31126800000004</v>
      </c>
    </row>
    <row r="622" spans="1:16" x14ac:dyDescent="0.25">
      <c r="A622" s="40">
        <v>2</v>
      </c>
      <c r="B622" s="40">
        <v>116</v>
      </c>
      <c r="C622" s="28">
        <v>12.761757299999999</v>
      </c>
      <c r="D622" s="28">
        <v>6.8038586499999996</v>
      </c>
      <c r="E622" s="28">
        <v>30.0551034</v>
      </c>
      <c r="F622" s="28">
        <v>19.5885538</v>
      </c>
      <c r="G622" s="28">
        <v>18.9646762</v>
      </c>
      <c r="H622" s="28">
        <v>67.335114500000003</v>
      </c>
      <c r="I622" s="28">
        <v>33.114336899999998</v>
      </c>
      <c r="J622" s="28">
        <v>978.90731500000004</v>
      </c>
      <c r="K622" s="28">
        <v>975.90299100000004</v>
      </c>
      <c r="L622" s="28">
        <v>5.16122689</v>
      </c>
      <c r="M622" s="28">
        <v>108.46801000000001</v>
      </c>
      <c r="N622" s="28">
        <v>54.233091999999999</v>
      </c>
      <c r="O622" s="28">
        <v>1036.25701</v>
      </c>
      <c r="P622" s="28">
        <v>963.74298699999997</v>
      </c>
    </row>
    <row r="623" spans="1:16" x14ac:dyDescent="0.25">
      <c r="A623" s="40">
        <v>2</v>
      </c>
      <c r="B623" s="40">
        <v>117</v>
      </c>
      <c r="C623" s="28">
        <v>12.8084015</v>
      </c>
      <c r="D623" s="28">
        <v>6.8562392900000004</v>
      </c>
      <c r="E623" s="28">
        <v>30.076059799999999</v>
      </c>
      <c r="F623" s="28">
        <v>19.451286199999998</v>
      </c>
      <c r="G623" s="28">
        <v>18.8612644</v>
      </c>
      <c r="H623" s="28">
        <v>68.467174299999996</v>
      </c>
      <c r="I623" s="28">
        <v>33.681358699999997</v>
      </c>
      <c r="J623" s="28">
        <v>981.40798400000006</v>
      </c>
      <c r="K623" s="28">
        <v>975.69562499999995</v>
      </c>
      <c r="L623" s="28">
        <v>5.1813487599999997</v>
      </c>
      <c r="M623" s="28">
        <v>109.12644</v>
      </c>
      <c r="N623" s="28">
        <v>54.407661099999999</v>
      </c>
      <c r="O623" s="28">
        <v>1040.2970299999999</v>
      </c>
      <c r="P623" s="28">
        <v>959.70297400000004</v>
      </c>
    </row>
    <row r="624" spans="1:16" x14ac:dyDescent="0.25">
      <c r="A624" s="40">
        <v>2</v>
      </c>
      <c r="B624" s="40">
        <v>118</v>
      </c>
      <c r="C624" s="28">
        <v>12.815234500000001</v>
      </c>
      <c r="D624" s="28">
        <v>6.8566856100000004</v>
      </c>
      <c r="E624" s="28">
        <v>30.2108417</v>
      </c>
      <c r="F624" s="28">
        <v>19.280900599999999</v>
      </c>
      <c r="G624" s="28">
        <v>18.725186399999998</v>
      </c>
      <c r="H624" s="28">
        <v>68.974896200000003</v>
      </c>
      <c r="I624" s="28">
        <v>34.046859499999997</v>
      </c>
      <c r="J624" s="28">
        <v>978.867255</v>
      </c>
      <c r="K624" s="28">
        <v>968.95906100000002</v>
      </c>
      <c r="L624" s="28">
        <v>5.2685504300000003</v>
      </c>
      <c r="M624" s="28">
        <v>108.815988</v>
      </c>
      <c r="N624" s="28">
        <v>56.265249500000003</v>
      </c>
      <c r="O624" s="28">
        <v>1057.8051399999999</v>
      </c>
      <c r="P624" s="28">
        <v>942.19486099999995</v>
      </c>
    </row>
    <row r="625" spans="1:16" x14ac:dyDescent="0.25">
      <c r="A625" s="40">
        <v>2</v>
      </c>
      <c r="B625" s="40">
        <v>119</v>
      </c>
      <c r="C625" s="28">
        <v>12.771661699999999</v>
      </c>
      <c r="D625" s="28">
        <v>6.8557505299999999</v>
      </c>
      <c r="E625" s="28">
        <v>30.4495462</v>
      </c>
      <c r="F625" s="28">
        <v>19.262678300000001</v>
      </c>
      <c r="G625" s="28">
        <v>18.7118158</v>
      </c>
      <c r="H625" s="28">
        <v>69.515604199999999</v>
      </c>
      <c r="I625" s="28">
        <v>34.350584499999997</v>
      </c>
      <c r="J625" s="28">
        <v>981.06869600000005</v>
      </c>
      <c r="K625" s="28">
        <v>972.92503499999998</v>
      </c>
      <c r="L625" s="28">
        <v>5.2338973400000004</v>
      </c>
      <c r="M625" s="28">
        <v>108.832883</v>
      </c>
      <c r="N625" s="28">
        <v>54.9375499</v>
      </c>
      <c r="O625" s="28">
        <v>1050.8475900000001</v>
      </c>
      <c r="P625" s="28">
        <v>949.15241300000002</v>
      </c>
    </row>
    <row r="626" spans="1:16" x14ac:dyDescent="0.25">
      <c r="A626" s="40">
        <v>2</v>
      </c>
      <c r="B626" s="40">
        <v>120</v>
      </c>
      <c r="C626" s="28">
        <v>12.6715673</v>
      </c>
      <c r="D626" s="28">
        <v>6.8934734500000001</v>
      </c>
      <c r="E626" s="28">
        <v>30.440493100000001</v>
      </c>
      <c r="F626" s="28">
        <v>19.2168849</v>
      </c>
      <c r="G626" s="28">
        <v>18.715159400000001</v>
      </c>
      <c r="H626" s="28">
        <v>69.919140299999995</v>
      </c>
      <c r="I626" s="28">
        <v>34.665059999999997</v>
      </c>
      <c r="J626" s="28">
        <v>978.14440400000001</v>
      </c>
      <c r="K626" s="28">
        <v>975.93727899999999</v>
      </c>
      <c r="L626" s="28">
        <v>5.14681867</v>
      </c>
      <c r="M626" s="28">
        <v>109.644907</v>
      </c>
      <c r="N626" s="28">
        <v>54.172784299999996</v>
      </c>
      <c r="O626" s="28">
        <v>1033.3641700000001</v>
      </c>
      <c r="P626" s="28">
        <v>966.63583100000005</v>
      </c>
    </row>
    <row r="627" spans="1:16" x14ac:dyDescent="0.25">
      <c r="A627" s="40">
        <v>2</v>
      </c>
      <c r="B627" s="40">
        <v>121</v>
      </c>
      <c r="C627" s="28">
        <v>12.6853189</v>
      </c>
      <c r="D627" s="28">
        <v>6.8808368199999999</v>
      </c>
      <c r="E627" s="28">
        <v>30.452348099999998</v>
      </c>
      <c r="F627" s="28">
        <v>19.076958699999999</v>
      </c>
      <c r="G627" s="28">
        <v>18.5720791</v>
      </c>
      <c r="H627" s="28">
        <v>69.779260300000004</v>
      </c>
      <c r="I627" s="28">
        <v>34.706908499999997</v>
      </c>
      <c r="J627" s="28">
        <v>981.31301900000005</v>
      </c>
      <c r="K627" s="28">
        <v>977.78214800000001</v>
      </c>
      <c r="L627" s="28">
        <v>5.1919950999999998</v>
      </c>
      <c r="M627" s="28">
        <v>109.293536</v>
      </c>
      <c r="N627" s="28">
        <v>55.220007799999998</v>
      </c>
      <c r="O627" s="28">
        <v>1042.4345699999999</v>
      </c>
      <c r="P627" s="28">
        <v>957.56543199999999</v>
      </c>
    </row>
    <row r="628" spans="1:16" x14ac:dyDescent="0.25">
      <c r="A628" s="40">
        <v>2</v>
      </c>
      <c r="B628" s="40">
        <v>122</v>
      </c>
      <c r="C628" s="28">
        <v>12.700847</v>
      </c>
      <c r="D628" s="28">
        <v>6.9057709599999999</v>
      </c>
      <c r="E628" s="28">
        <v>30.246432899999999</v>
      </c>
      <c r="F628" s="28">
        <v>19.021614700000001</v>
      </c>
      <c r="G628" s="28">
        <v>18.7605699</v>
      </c>
      <c r="H628" s="28">
        <v>70.267449900000003</v>
      </c>
      <c r="I628" s="28">
        <v>35.466009999999997</v>
      </c>
      <c r="J628" s="28">
        <v>978.57813799999997</v>
      </c>
      <c r="K628" s="28">
        <v>974.39631099999997</v>
      </c>
      <c r="L628" s="28">
        <v>5.1995798200000003</v>
      </c>
      <c r="M628" s="28">
        <v>109.835707</v>
      </c>
      <c r="N628" s="28">
        <v>55.384003900000003</v>
      </c>
      <c r="O628" s="28">
        <v>1043.95741</v>
      </c>
      <c r="P628" s="28">
        <v>956.04259200000001</v>
      </c>
    </row>
    <row r="629" spans="1:16" x14ac:dyDescent="0.25">
      <c r="A629" s="40">
        <v>2</v>
      </c>
      <c r="B629" s="40">
        <v>123</v>
      </c>
      <c r="C629" s="28">
        <v>12.634206499999999</v>
      </c>
      <c r="D629" s="28">
        <v>6.8890001099999996</v>
      </c>
      <c r="E629" s="28">
        <v>30.3791133</v>
      </c>
      <c r="F629" s="28">
        <v>19.1189429</v>
      </c>
      <c r="G629" s="28">
        <v>18.800217</v>
      </c>
      <c r="H629" s="28">
        <v>70.204494600000004</v>
      </c>
      <c r="I629" s="28">
        <v>35.810685200000002</v>
      </c>
      <c r="J629" s="28">
        <v>980.667867</v>
      </c>
      <c r="K629" s="28">
        <v>972.64203699999996</v>
      </c>
      <c r="L629" s="28">
        <v>5.1579850399999998</v>
      </c>
      <c r="M629" s="28">
        <v>110.63617000000001</v>
      </c>
      <c r="N629" s="28">
        <v>53.790550400000001</v>
      </c>
      <c r="O629" s="28">
        <v>1035.6061199999999</v>
      </c>
      <c r="P629" s="28">
        <v>964.39387699999997</v>
      </c>
    </row>
    <row r="630" spans="1:16" x14ac:dyDescent="0.25">
      <c r="A630" s="40">
        <v>2</v>
      </c>
      <c r="B630" s="40">
        <v>124</v>
      </c>
      <c r="C630" s="28">
        <v>12.587484699999999</v>
      </c>
      <c r="D630" s="28">
        <v>6.8531356099999998</v>
      </c>
      <c r="E630" s="28">
        <v>30.500294199999999</v>
      </c>
      <c r="F630" s="28">
        <v>18.9534263</v>
      </c>
      <c r="G630" s="28">
        <v>18.806944000000001</v>
      </c>
      <c r="H630" s="28">
        <v>71.180876999999995</v>
      </c>
      <c r="I630" s="28">
        <v>36.397851600000003</v>
      </c>
      <c r="J630" s="28">
        <v>977.88926600000002</v>
      </c>
      <c r="K630" s="28">
        <v>978.30267300000003</v>
      </c>
      <c r="L630" s="28">
        <v>5.1106629200000002</v>
      </c>
      <c r="M630" s="28">
        <v>110.162909</v>
      </c>
      <c r="N630" s="28">
        <v>53.7227052</v>
      </c>
      <c r="O630" s="28">
        <v>1026.10492</v>
      </c>
      <c r="P630" s="28">
        <v>973.895083</v>
      </c>
    </row>
    <row r="631" spans="1:16" x14ac:dyDescent="0.25">
      <c r="A631" s="40">
        <v>2</v>
      </c>
      <c r="B631" s="40">
        <v>125</v>
      </c>
      <c r="C631" s="28">
        <v>12.5367952</v>
      </c>
      <c r="D631" s="28">
        <v>6.7500072800000002</v>
      </c>
      <c r="E631" s="28">
        <v>30.3555858</v>
      </c>
      <c r="F631" s="28">
        <v>18.761065599999998</v>
      </c>
      <c r="G631" s="28">
        <v>18.490806200000002</v>
      </c>
      <c r="H631" s="28">
        <v>71.097496599999999</v>
      </c>
      <c r="I631" s="28">
        <v>35.776377500000002</v>
      </c>
      <c r="J631" s="28">
        <v>981.48072300000001</v>
      </c>
      <c r="K631" s="28">
        <v>974.31032300000004</v>
      </c>
      <c r="L631" s="28">
        <v>5.0310905400000001</v>
      </c>
      <c r="M631" s="28">
        <v>109.948218</v>
      </c>
      <c r="N631" s="28">
        <v>54.0185545</v>
      </c>
      <c r="O631" s="28">
        <v>1010.12859</v>
      </c>
      <c r="P631" s="28">
        <v>989.87140699999998</v>
      </c>
    </row>
    <row r="632" spans="1:16" x14ac:dyDescent="0.25">
      <c r="A632" s="40">
        <v>2</v>
      </c>
      <c r="B632" s="40">
        <v>126</v>
      </c>
      <c r="C632" s="28">
        <v>12.4170575</v>
      </c>
      <c r="D632" s="28">
        <v>6.8125922799999996</v>
      </c>
      <c r="E632" s="28">
        <v>30.769811900000001</v>
      </c>
      <c r="F632" s="28">
        <v>18.7420011</v>
      </c>
      <c r="G632" s="28">
        <v>18.595870600000001</v>
      </c>
      <c r="H632" s="28">
        <v>69.961229700000004</v>
      </c>
      <c r="I632" s="28">
        <v>35.556322899999998</v>
      </c>
      <c r="J632" s="28">
        <v>979.17024700000002</v>
      </c>
      <c r="K632" s="28">
        <v>978.27758700000004</v>
      </c>
      <c r="L632" s="28">
        <v>4.9649936300000004</v>
      </c>
      <c r="M632" s="28">
        <v>110.216587</v>
      </c>
      <c r="N632" s="28">
        <v>53.870578700000003</v>
      </c>
      <c r="O632" s="28">
        <v>996.85783500000002</v>
      </c>
      <c r="P632" s="28">
        <v>1003.14217</v>
      </c>
    </row>
    <row r="633" spans="1:16" x14ac:dyDescent="0.25">
      <c r="A633" s="40">
        <v>2</v>
      </c>
      <c r="B633" s="40">
        <v>127</v>
      </c>
      <c r="C633" s="28">
        <v>12.3952074</v>
      </c>
      <c r="D633" s="28">
        <v>6.8280672100000004</v>
      </c>
      <c r="E633" s="28">
        <v>30.646785099999999</v>
      </c>
      <c r="F633" s="28">
        <v>18.6118545</v>
      </c>
      <c r="G633" s="28">
        <v>18.748510899999999</v>
      </c>
      <c r="H633" s="28">
        <v>68.913268099999996</v>
      </c>
      <c r="I633" s="28">
        <v>35.502604900000001</v>
      </c>
      <c r="J633" s="28">
        <v>982.46246199999996</v>
      </c>
      <c r="K633" s="28">
        <v>972.76335700000004</v>
      </c>
      <c r="L633" s="28">
        <v>4.9450008099999998</v>
      </c>
      <c r="M633" s="28">
        <v>109.48518199999999</v>
      </c>
      <c r="N633" s="28">
        <v>54.141100100000003</v>
      </c>
      <c r="O633" s="28">
        <v>992.84373100000005</v>
      </c>
      <c r="P633" s="28">
        <v>1007.1562699999999</v>
      </c>
    </row>
    <row r="634" spans="1:16" x14ac:dyDescent="0.25">
      <c r="A634" s="40">
        <v>2</v>
      </c>
      <c r="B634" s="40">
        <v>128</v>
      </c>
      <c r="C634" s="28">
        <v>12.426492400000001</v>
      </c>
      <c r="D634" s="28">
        <v>6.8004149299999996</v>
      </c>
      <c r="E634" s="28">
        <v>30.411521799999999</v>
      </c>
      <c r="F634" s="28">
        <v>18.604541699999999</v>
      </c>
      <c r="G634" s="28">
        <v>18.676448700000002</v>
      </c>
      <c r="H634" s="28">
        <v>67.388887600000004</v>
      </c>
      <c r="I634" s="28">
        <v>36.073197800000003</v>
      </c>
      <c r="J634" s="28">
        <v>980.81919900000003</v>
      </c>
      <c r="K634" s="28">
        <v>973.805385</v>
      </c>
      <c r="L634" s="28">
        <v>5.0036665300000003</v>
      </c>
      <c r="M634" s="28">
        <v>110.02716100000001</v>
      </c>
      <c r="N634" s="28">
        <v>53.320459100000001</v>
      </c>
      <c r="O634" s="28">
        <v>1004.62247</v>
      </c>
      <c r="P634" s="28">
        <v>995.37752599999999</v>
      </c>
    </row>
    <row r="635" spans="1:16" x14ac:dyDescent="0.25">
      <c r="A635" s="40">
        <v>2</v>
      </c>
      <c r="B635" s="40">
        <v>129</v>
      </c>
      <c r="C635" s="28">
        <v>12.3930363</v>
      </c>
      <c r="D635" s="28">
        <v>6.8351117400000003</v>
      </c>
      <c r="E635" s="28">
        <v>29.957368299999999</v>
      </c>
      <c r="F635" s="28">
        <v>18.693687199999999</v>
      </c>
      <c r="G635" s="28">
        <v>18.554925999999998</v>
      </c>
      <c r="H635" s="28">
        <v>66.157961599999993</v>
      </c>
      <c r="I635" s="28">
        <v>35.360723</v>
      </c>
      <c r="J635" s="28">
        <v>984.60037599999998</v>
      </c>
      <c r="K635" s="28">
        <v>978.07405900000003</v>
      </c>
      <c r="L635" s="28">
        <v>5.0755673200000002</v>
      </c>
      <c r="M635" s="28">
        <v>109.05500000000001</v>
      </c>
      <c r="N635" s="28">
        <v>52.7950497</v>
      </c>
      <c r="O635" s="28">
        <v>1019.05852</v>
      </c>
      <c r="P635" s="28">
        <v>980.94148199999995</v>
      </c>
    </row>
    <row r="636" spans="1:16" x14ac:dyDescent="0.25">
      <c r="A636" s="40">
        <v>2</v>
      </c>
      <c r="B636" s="40">
        <v>130</v>
      </c>
      <c r="C636" s="28">
        <v>12.4259588</v>
      </c>
      <c r="D636" s="28">
        <v>6.7955514600000004</v>
      </c>
      <c r="E636" s="28">
        <v>29.887597599999999</v>
      </c>
      <c r="F636" s="28">
        <v>18.8628754</v>
      </c>
      <c r="G636" s="28">
        <v>18.545801099999998</v>
      </c>
      <c r="H636" s="28">
        <v>65.606101600000002</v>
      </c>
      <c r="I636" s="28">
        <v>35.430311000000003</v>
      </c>
      <c r="J636" s="28">
        <v>982.667687</v>
      </c>
      <c r="K636" s="28">
        <v>982.95678799999996</v>
      </c>
      <c r="L636" s="28">
        <v>5.0435923300000001</v>
      </c>
      <c r="M636" s="28">
        <v>109.44671</v>
      </c>
      <c r="N636" s="28">
        <v>53.209509799999999</v>
      </c>
      <c r="O636" s="28">
        <v>1012.63867</v>
      </c>
      <c r="P636" s="28">
        <v>987.36133199999995</v>
      </c>
    </row>
    <row r="637" spans="1:16" x14ac:dyDescent="0.25">
      <c r="A637" s="40">
        <v>2</v>
      </c>
      <c r="B637" s="40">
        <v>131</v>
      </c>
      <c r="C637" s="28">
        <v>12.4394221</v>
      </c>
      <c r="D637" s="28">
        <v>6.7821759899999998</v>
      </c>
      <c r="E637" s="28">
        <v>29.601697999999999</v>
      </c>
      <c r="F637" s="28">
        <v>18.5136547</v>
      </c>
      <c r="G637" s="28">
        <v>18.752668</v>
      </c>
      <c r="H637" s="28">
        <v>65.484940199999997</v>
      </c>
      <c r="I637" s="28">
        <v>35.260242400000003</v>
      </c>
      <c r="J637" s="28">
        <v>986.270848</v>
      </c>
      <c r="K637" s="28">
        <v>981.95631900000001</v>
      </c>
      <c r="L637" s="28">
        <v>5.0381363300000004</v>
      </c>
      <c r="M637" s="28">
        <v>109.15864999999999</v>
      </c>
      <c r="N637" s="28">
        <v>52.072378</v>
      </c>
      <c r="O637" s="28">
        <v>1011.54323</v>
      </c>
      <c r="P637" s="28">
        <v>988.456773</v>
      </c>
    </row>
    <row r="638" spans="1:16" x14ac:dyDescent="0.25">
      <c r="A638" s="40">
        <v>2</v>
      </c>
      <c r="B638" s="40">
        <v>132</v>
      </c>
      <c r="C638" s="28">
        <v>12.4419308</v>
      </c>
      <c r="D638" s="28">
        <v>6.7425485500000004</v>
      </c>
      <c r="E638" s="28">
        <v>29.6142024</v>
      </c>
      <c r="F638" s="28">
        <v>18.588491300000001</v>
      </c>
      <c r="G638" s="28">
        <v>19.057492</v>
      </c>
      <c r="H638" s="28">
        <v>65.234962899999999</v>
      </c>
      <c r="I638" s="28">
        <v>35.581806100000001</v>
      </c>
      <c r="J638" s="28">
        <v>983.92918899999995</v>
      </c>
      <c r="K638" s="28">
        <v>981.271118</v>
      </c>
      <c r="L638" s="28">
        <v>5.0178053800000004</v>
      </c>
      <c r="M638" s="28">
        <v>108.603678</v>
      </c>
      <c r="N638" s="28">
        <v>53.393499200000001</v>
      </c>
      <c r="O638" s="28">
        <v>1007.46123</v>
      </c>
      <c r="P638" s="28">
        <v>992.53876700000001</v>
      </c>
    </row>
    <row r="639" spans="1:16" x14ac:dyDescent="0.25">
      <c r="A639" s="40">
        <v>2</v>
      </c>
      <c r="B639" s="40">
        <v>133</v>
      </c>
      <c r="C639" s="28">
        <v>12.5247797</v>
      </c>
      <c r="D639" s="28">
        <v>6.7371209700000003</v>
      </c>
      <c r="E639" s="28">
        <v>29.457809399999999</v>
      </c>
      <c r="F639" s="28">
        <v>18.556239399999999</v>
      </c>
      <c r="G639" s="28">
        <v>19.338248199999999</v>
      </c>
      <c r="H639" s="28">
        <v>65.267924600000001</v>
      </c>
      <c r="I639" s="28">
        <v>36.238353500000002</v>
      </c>
      <c r="J639" s="28">
        <v>986.48936800000001</v>
      </c>
      <c r="K639" s="28">
        <v>986.77572799999996</v>
      </c>
      <c r="L639" s="28">
        <v>5.0894097599999997</v>
      </c>
      <c r="M639" s="28">
        <v>109.07666399999999</v>
      </c>
      <c r="N639" s="28">
        <v>53.957336099999999</v>
      </c>
      <c r="O639" s="28">
        <v>1021.83777</v>
      </c>
      <c r="P639" s="28">
        <v>978.16223400000001</v>
      </c>
    </row>
    <row r="640" spans="1:16" x14ac:dyDescent="0.25">
      <c r="A640" s="40">
        <v>2</v>
      </c>
      <c r="B640" s="40">
        <v>134</v>
      </c>
      <c r="C640" s="28">
        <v>12.470014900000001</v>
      </c>
      <c r="D640" s="28">
        <v>6.7484033500000002</v>
      </c>
      <c r="E640" s="28">
        <v>29.621454799999999</v>
      </c>
      <c r="F640" s="28">
        <v>18.475830200000001</v>
      </c>
      <c r="G640" s="28">
        <v>19.430767500000002</v>
      </c>
      <c r="H640" s="28">
        <v>64.648794699999996</v>
      </c>
      <c r="I640" s="28">
        <v>36.041323400000003</v>
      </c>
      <c r="J640" s="28">
        <v>984.63718800000004</v>
      </c>
      <c r="K640" s="28">
        <v>990.02589399999999</v>
      </c>
      <c r="L640" s="28">
        <v>5.0751424199999997</v>
      </c>
      <c r="M640" s="28">
        <v>109.015563</v>
      </c>
      <c r="N640" s="28">
        <v>54.062692699999999</v>
      </c>
      <c r="O640" s="28">
        <v>1018.97321</v>
      </c>
      <c r="P640" s="28">
        <v>981.026793</v>
      </c>
    </row>
    <row r="641" spans="1:16" x14ac:dyDescent="0.25">
      <c r="A641" s="40">
        <v>2</v>
      </c>
      <c r="B641" s="40">
        <v>135</v>
      </c>
      <c r="C641" s="28">
        <v>12.4419883</v>
      </c>
      <c r="D641" s="28">
        <v>6.7590720299999996</v>
      </c>
      <c r="E641" s="28">
        <v>29.3256333</v>
      </c>
      <c r="F641" s="28">
        <v>18.391997799999999</v>
      </c>
      <c r="G641" s="28">
        <v>19.215224899999999</v>
      </c>
      <c r="H641" s="28">
        <v>63.357074400000002</v>
      </c>
      <c r="I641" s="28">
        <v>35.258450500000002</v>
      </c>
      <c r="J641" s="28">
        <v>988.51991099999998</v>
      </c>
      <c r="K641" s="28">
        <v>996.24115400000005</v>
      </c>
      <c r="L641" s="28">
        <v>5.12050188</v>
      </c>
      <c r="M641" s="28">
        <v>107.84858</v>
      </c>
      <c r="N641" s="28">
        <v>55.543746800000001</v>
      </c>
      <c r="O641" s="28">
        <v>1028.0803599999999</v>
      </c>
      <c r="P641" s="28">
        <v>971.91964399999995</v>
      </c>
    </row>
    <row r="642" spans="1:16" x14ac:dyDescent="0.25">
      <c r="A642" s="40">
        <v>2</v>
      </c>
      <c r="B642" s="40">
        <v>136</v>
      </c>
      <c r="C642" s="28">
        <v>12.4382456</v>
      </c>
      <c r="D642" s="28">
        <v>6.6674568499999998</v>
      </c>
      <c r="E642" s="28">
        <v>29.2138101</v>
      </c>
      <c r="F642" s="28">
        <v>18.4437456</v>
      </c>
      <c r="G642" s="28">
        <v>18.9645066</v>
      </c>
      <c r="H642" s="28">
        <v>63.388191599999999</v>
      </c>
      <c r="I642" s="28">
        <v>35.133430099999998</v>
      </c>
      <c r="J642" s="28">
        <v>986.778234</v>
      </c>
      <c r="K642" s="28">
        <v>993.543184</v>
      </c>
      <c r="L642" s="28">
        <v>5.1805123999999996</v>
      </c>
      <c r="M642" s="28">
        <v>107.789034</v>
      </c>
      <c r="N642" s="28">
        <v>54.657721299999999</v>
      </c>
      <c r="O642" s="28">
        <v>1040.1291100000001</v>
      </c>
      <c r="P642" s="28">
        <v>959.87089500000002</v>
      </c>
    </row>
    <row r="643" spans="1:16" x14ac:dyDescent="0.25">
      <c r="A643" s="40">
        <v>2</v>
      </c>
      <c r="B643" s="40">
        <v>137</v>
      </c>
      <c r="C643" s="28">
        <v>12.4658271</v>
      </c>
      <c r="D643" s="28">
        <v>6.5735086100000002</v>
      </c>
      <c r="E643" s="28">
        <v>29.257674699999999</v>
      </c>
      <c r="F643" s="28">
        <v>18.5143807</v>
      </c>
      <c r="G643" s="28">
        <v>19.432043400000001</v>
      </c>
      <c r="H643" s="28">
        <v>64.014132399999994</v>
      </c>
      <c r="I643" s="28">
        <v>34.779721000000002</v>
      </c>
      <c r="J643" s="28">
        <v>989.25604299999998</v>
      </c>
      <c r="K643" s="28">
        <v>991.94197099999997</v>
      </c>
      <c r="L643" s="28">
        <v>5.2119792599999997</v>
      </c>
      <c r="M643" s="28">
        <v>107.86524199999999</v>
      </c>
      <c r="N643" s="28">
        <v>54.857458800000003</v>
      </c>
      <c r="O643" s="28">
        <v>1046.4469300000001</v>
      </c>
      <c r="P643" s="28">
        <v>953.55306499999995</v>
      </c>
    </row>
    <row r="644" spans="1:16" x14ac:dyDescent="0.25">
      <c r="A644" s="40">
        <v>2</v>
      </c>
      <c r="B644" s="40">
        <v>138</v>
      </c>
      <c r="C644" s="28">
        <v>12.440692800000001</v>
      </c>
      <c r="D644" s="28">
        <v>6.5788901299999996</v>
      </c>
      <c r="E644" s="28">
        <v>29.513328699999999</v>
      </c>
      <c r="F644" s="28">
        <v>18.546902899999999</v>
      </c>
      <c r="G644" s="28">
        <v>19.9006744</v>
      </c>
      <c r="H644" s="28">
        <v>64.850631199999995</v>
      </c>
      <c r="I644" s="28">
        <v>35.108034000000004</v>
      </c>
      <c r="J644" s="28">
        <v>986.33731299999999</v>
      </c>
      <c r="K644" s="28">
        <v>990.70619999999997</v>
      </c>
      <c r="L644" s="28">
        <v>5.2513922300000004</v>
      </c>
      <c r="M644" s="28">
        <v>108.586045</v>
      </c>
      <c r="N644" s="28">
        <v>54.044000799999999</v>
      </c>
      <c r="O644" s="28">
        <v>1054.36016</v>
      </c>
      <c r="P644" s="28">
        <v>945.63983700000006</v>
      </c>
    </row>
    <row r="645" spans="1:16" x14ac:dyDescent="0.25">
      <c r="A645" s="40">
        <v>2</v>
      </c>
      <c r="B645" s="40">
        <v>139</v>
      </c>
      <c r="C645" s="28">
        <v>12.635223999999999</v>
      </c>
      <c r="D645" s="28">
        <v>6.6363083899999999</v>
      </c>
      <c r="E645" s="28">
        <v>29.244547499999999</v>
      </c>
      <c r="F645" s="28">
        <v>18.4503205</v>
      </c>
      <c r="G645" s="28">
        <v>19.7123861</v>
      </c>
      <c r="H645" s="28">
        <v>65.974548400000003</v>
      </c>
      <c r="I645" s="28">
        <v>35.580337700000001</v>
      </c>
      <c r="J645" s="28">
        <v>989.247927</v>
      </c>
      <c r="K645" s="28">
        <v>989.74080600000002</v>
      </c>
      <c r="L645" s="28">
        <v>5.09617349</v>
      </c>
      <c r="M645" s="28">
        <v>108.65988</v>
      </c>
      <c r="N645" s="28">
        <v>53.8054451</v>
      </c>
      <c r="O645" s="28">
        <v>1023.19577</v>
      </c>
      <c r="P645" s="28">
        <v>976.80423099999996</v>
      </c>
    </row>
    <row r="646" spans="1:16" x14ac:dyDescent="0.25">
      <c r="A646" s="40">
        <v>2</v>
      </c>
      <c r="B646" s="40">
        <v>140</v>
      </c>
      <c r="C646" s="28">
        <v>12.7350058</v>
      </c>
      <c r="D646" s="28">
        <v>6.71577512</v>
      </c>
      <c r="E646" s="28">
        <v>28.869532599999999</v>
      </c>
      <c r="F646" s="28">
        <v>18.148344300000002</v>
      </c>
      <c r="G646" s="28">
        <v>19.8460143</v>
      </c>
      <c r="H646" s="28">
        <v>66.022603599999997</v>
      </c>
      <c r="I646" s="28">
        <v>35.491481200000003</v>
      </c>
      <c r="J646" s="28">
        <v>988.45567000000005</v>
      </c>
      <c r="K646" s="28">
        <v>996.682232</v>
      </c>
      <c r="L646" s="28">
        <v>5.1623507999999996</v>
      </c>
      <c r="M646" s="28">
        <v>108.61271000000001</v>
      </c>
      <c r="N646" s="28">
        <v>53.745695099999999</v>
      </c>
      <c r="O646" s="28">
        <v>1036.4826700000001</v>
      </c>
      <c r="P646" s="28">
        <v>963.51733100000001</v>
      </c>
    </row>
    <row r="647" spans="1:16" x14ac:dyDescent="0.25">
      <c r="A647" s="40">
        <v>2</v>
      </c>
      <c r="B647" s="40">
        <v>141</v>
      </c>
      <c r="C647" s="28">
        <v>12.774312999999999</v>
      </c>
      <c r="D647" s="28">
        <v>6.7087044599999999</v>
      </c>
      <c r="E647" s="28">
        <v>29.473626700000001</v>
      </c>
      <c r="F647" s="28">
        <v>18.335300400000001</v>
      </c>
      <c r="G647" s="28">
        <v>20.092718000000001</v>
      </c>
      <c r="H647" s="28">
        <v>65.800528999999997</v>
      </c>
      <c r="I647" s="28">
        <v>35.368077</v>
      </c>
      <c r="J647" s="28">
        <v>990.08523000000002</v>
      </c>
      <c r="K647" s="28">
        <v>997.94176900000002</v>
      </c>
      <c r="L647" s="28">
        <v>5.1400153900000003</v>
      </c>
      <c r="M647" s="28">
        <v>109.69767400000001</v>
      </c>
      <c r="N647" s="28">
        <v>53.160684600000003</v>
      </c>
      <c r="O647" s="28">
        <v>1031.9982199999999</v>
      </c>
      <c r="P647" s="28">
        <v>968.00177499999995</v>
      </c>
    </row>
    <row r="648" spans="1:16" x14ac:dyDescent="0.25">
      <c r="A648" s="40">
        <v>2</v>
      </c>
      <c r="B648" s="40">
        <v>142</v>
      </c>
      <c r="C648" s="28">
        <v>12.788501</v>
      </c>
      <c r="D648" s="28">
        <v>6.7934392399999997</v>
      </c>
      <c r="E648" s="28">
        <v>29.7180711</v>
      </c>
      <c r="F648" s="28">
        <v>18.232161699999999</v>
      </c>
      <c r="G648" s="28">
        <v>19.898985199999998</v>
      </c>
      <c r="H648" s="28">
        <v>65.910566099999997</v>
      </c>
      <c r="I648" s="28">
        <v>35.2012845</v>
      </c>
      <c r="J648" s="28">
        <v>988.36942099999999</v>
      </c>
      <c r="K648" s="28">
        <v>999.37378999999999</v>
      </c>
      <c r="L648" s="28">
        <v>5.1209049100000001</v>
      </c>
      <c r="M648" s="28">
        <v>109.427797</v>
      </c>
      <c r="N648" s="28">
        <v>51.623985500000003</v>
      </c>
      <c r="O648" s="28">
        <v>1028.16128</v>
      </c>
      <c r="P648" s="28">
        <v>971.83872399999996</v>
      </c>
    </row>
    <row r="649" spans="1:16" x14ac:dyDescent="0.25">
      <c r="A649" s="40">
        <v>2</v>
      </c>
      <c r="B649" s="40">
        <v>143</v>
      </c>
      <c r="C649" s="28">
        <v>12.837468100000001</v>
      </c>
      <c r="D649" s="28">
        <v>6.7906392000000002</v>
      </c>
      <c r="E649" s="28">
        <v>29.901439</v>
      </c>
      <c r="F649" s="28">
        <v>18.186985199999999</v>
      </c>
      <c r="G649" s="28">
        <v>19.789800499999998</v>
      </c>
      <c r="H649" s="28">
        <v>66.251789500000001</v>
      </c>
      <c r="I649" s="28">
        <v>35.655317500000002</v>
      </c>
      <c r="J649" s="28">
        <v>990.21257200000002</v>
      </c>
      <c r="K649" s="28">
        <v>1005.04062</v>
      </c>
      <c r="L649" s="28">
        <v>5.0992023599999996</v>
      </c>
      <c r="M649" s="28">
        <v>109.59155800000001</v>
      </c>
      <c r="N649" s="28">
        <v>51.388102000000003</v>
      </c>
      <c r="O649" s="28">
        <v>1023.8039</v>
      </c>
      <c r="P649" s="28">
        <v>976.19610399999999</v>
      </c>
    </row>
    <row r="650" spans="1:16" x14ac:dyDescent="0.25">
      <c r="A650" s="40">
        <v>2</v>
      </c>
      <c r="B650" s="40">
        <v>144</v>
      </c>
      <c r="C650" s="28">
        <v>12.7412794</v>
      </c>
      <c r="D650" s="28">
        <v>6.8534818</v>
      </c>
      <c r="E650" s="28">
        <v>29.687180300000001</v>
      </c>
      <c r="F650" s="28">
        <v>18.032292900000002</v>
      </c>
      <c r="G650" s="28">
        <v>19.949797100000001</v>
      </c>
      <c r="H650" s="28">
        <v>66.310985000000002</v>
      </c>
      <c r="I650" s="28">
        <v>35.944313899999997</v>
      </c>
      <c r="J650" s="28">
        <v>988.15662999999995</v>
      </c>
      <c r="K650" s="28">
        <v>1000.1302899999999</v>
      </c>
      <c r="L650" s="28">
        <v>5.0980572799999999</v>
      </c>
      <c r="M650" s="28">
        <v>110.04088900000001</v>
      </c>
      <c r="N650" s="28">
        <v>50.841125300000002</v>
      </c>
      <c r="O650" s="28">
        <v>1023.57399</v>
      </c>
      <c r="P650" s="28">
        <v>976.42600800000002</v>
      </c>
    </row>
    <row r="651" spans="1:16" x14ac:dyDescent="0.25">
      <c r="A651" s="40">
        <v>2</v>
      </c>
      <c r="B651" s="40">
        <v>145</v>
      </c>
      <c r="C651" s="28">
        <v>12.769825000000001</v>
      </c>
      <c r="D651" s="28">
        <v>6.8925554199999999</v>
      </c>
      <c r="E651" s="28">
        <v>29.728723599999999</v>
      </c>
      <c r="F651" s="28">
        <v>18.248938200000001</v>
      </c>
      <c r="G651" s="28">
        <v>19.629710800000002</v>
      </c>
      <c r="H651" s="28">
        <v>66.016432600000002</v>
      </c>
      <c r="I651" s="28">
        <v>35.7364009</v>
      </c>
      <c r="J651" s="28">
        <v>990.38116200000002</v>
      </c>
      <c r="K651" s="28">
        <v>1003.51135</v>
      </c>
      <c r="L651" s="28">
        <v>5.1674592700000002</v>
      </c>
      <c r="M651" s="28">
        <v>109.87495699999999</v>
      </c>
      <c r="N651" s="28">
        <v>51.608947899999997</v>
      </c>
      <c r="O651" s="28">
        <v>1037.5083299999999</v>
      </c>
      <c r="P651" s="28">
        <v>962.49166700000001</v>
      </c>
    </row>
    <row r="652" spans="1:16" x14ac:dyDescent="0.25">
      <c r="A652" s="40">
        <v>2</v>
      </c>
      <c r="B652" s="40">
        <v>146</v>
      </c>
      <c r="C652" s="28">
        <v>12.7644354</v>
      </c>
      <c r="D652" s="28">
        <v>6.8400343399999999</v>
      </c>
      <c r="E652" s="28">
        <v>29.547213599999999</v>
      </c>
      <c r="F652" s="28">
        <v>18.1263726</v>
      </c>
      <c r="G652" s="28">
        <v>19.5036147</v>
      </c>
      <c r="H652" s="28">
        <v>65.733338399999994</v>
      </c>
      <c r="I652" s="28">
        <v>35.449556600000001</v>
      </c>
      <c r="J652" s="28">
        <v>989.20545600000003</v>
      </c>
      <c r="K652" s="28">
        <v>1000.7058</v>
      </c>
      <c r="L652" s="28">
        <v>5.1790393999999997</v>
      </c>
      <c r="M652" s="28">
        <v>109.393638</v>
      </c>
      <c r="N652" s="28">
        <v>52.307330200000003</v>
      </c>
      <c r="O652" s="28">
        <v>1039.8333600000001</v>
      </c>
      <c r="P652" s="28">
        <v>960.16664000000003</v>
      </c>
    </row>
    <row r="653" spans="1:16" x14ac:dyDescent="0.25">
      <c r="A653" s="40">
        <v>2</v>
      </c>
      <c r="B653" s="40">
        <v>147</v>
      </c>
      <c r="C653" s="28">
        <v>12.711825299999999</v>
      </c>
      <c r="D653" s="28">
        <v>6.7937739099999996</v>
      </c>
      <c r="E653" s="28">
        <v>29.186509900000001</v>
      </c>
      <c r="F653" s="28">
        <v>18.0848686</v>
      </c>
      <c r="G653" s="28">
        <v>19.294629799999999</v>
      </c>
      <c r="H653" s="28">
        <v>64.486422200000007</v>
      </c>
      <c r="I653" s="28">
        <v>35.925355600000003</v>
      </c>
      <c r="J653" s="28">
        <v>991.54156</v>
      </c>
      <c r="K653" s="28">
        <v>997.51901299999997</v>
      </c>
      <c r="L653" s="28">
        <v>5.1969833899999998</v>
      </c>
      <c r="M653" s="28">
        <v>108.86776</v>
      </c>
      <c r="N653" s="28">
        <v>50.356224599999997</v>
      </c>
      <c r="O653" s="28">
        <v>1043.4361100000001</v>
      </c>
      <c r="P653" s="28">
        <v>956.563895</v>
      </c>
    </row>
    <row r="654" spans="1:16" x14ac:dyDescent="0.25">
      <c r="A654" s="40">
        <v>2</v>
      </c>
      <c r="B654" s="40">
        <v>148</v>
      </c>
      <c r="C654" s="28">
        <v>12.769774399999999</v>
      </c>
      <c r="D654" s="28">
        <v>6.7476937100000001</v>
      </c>
      <c r="E654" s="28">
        <v>28.586799800000001</v>
      </c>
      <c r="F654" s="28">
        <v>18.212983399999999</v>
      </c>
      <c r="G654" s="28">
        <v>19.243207300000002</v>
      </c>
      <c r="H654" s="28">
        <v>63.726544599999997</v>
      </c>
      <c r="I654" s="28">
        <v>36.062691700000002</v>
      </c>
      <c r="J654" s="28">
        <v>990.39401499999997</v>
      </c>
      <c r="K654" s="28">
        <v>998.28175299999998</v>
      </c>
      <c r="L654" s="28">
        <v>5.2131279399999997</v>
      </c>
      <c r="M654" s="28">
        <v>108.366806</v>
      </c>
      <c r="N654" s="28">
        <v>50.821206099999998</v>
      </c>
      <c r="O654" s="28">
        <v>1046.6775600000001</v>
      </c>
      <c r="P654" s="28">
        <v>953.32243700000004</v>
      </c>
    </row>
    <row r="655" spans="1:16" x14ac:dyDescent="0.25">
      <c r="A655" s="40">
        <v>2</v>
      </c>
      <c r="B655" s="40">
        <v>149</v>
      </c>
      <c r="C655" s="28">
        <v>12.6649823</v>
      </c>
      <c r="D655" s="28">
        <v>6.7403047699999998</v>
      </c>
      <c r="E655" s="28">
        <v>28.4583619</v>
      </c>
      <c r="F655" s="28">
        <v>18.282925800000001</v>
      </c>
      <c r="G655" s="28">
        <v>19.189392399999999</v>
      </c>
      <c r="H655" s="28">
        <v>63.148544200000003</v>
      </c>
      <c r="I655" s="28">
        <v>36.247606500000003</v>
      </c>
      <c r="J655" s="28">
        <v>992.09589100000005</v>
      </c>
      <c r="K655" s="28">
        <v>994.69399499999997</v>
      </c>
      <c r="L655" s="28">
        <v>5.3376646000000001</v>
      </c>
      <c r="M655" s="28">
        <v>109.29405300000001</v>
      </c>
      <c r="N655" s="28">
        <v>51.711569799999999</v>
      </c>
      <c r="O655" s="28">
        <v>1071.6816899999999</v>
      </c>
      <c r="P655" s="28">
        <v>928.318307</v>
      </c>
    </row>
    <row r="656" spans="1:16" x14ac:dyDescent="0.25">
      <c r="A656" s="40">
        <v>2</v>
      </c>
      <c r="B656" s="40">
        <v>150</v>
      </c>
      <c r="C656" s="28">
        <v>12.666665099999999</v>
      </c>
      <c r="D656" s="28">
        <v>6.7514966899999997</v>
      </c>
      <c r="E656" s="28">
        <v>28.378622400000001</v>
      </c>
      <c r="F656" s="28">
        <v>18.3962422</v>
      </c>
      <c r="G656" s="28">
        <v>19.395474400000001</v>
      </c>
      <c r="H656" s="28">
        <v>63.655217100000002</v>
      </c>
      <c r="I656" s="28">
        <v>36.617899999999999</v>
      </c>
      <c r="J656" s="28">
        <v>989.69893300000001</v>
      </c>
      <c r="K656" s="28">
        <v>989.51315699999998</v>
      </c>
      <c r="L656" s="28">
        <v>5.3392407300000002</v>
      </c>
      <c r="M656" s="28">
        <v>109.199748</v>
      </c>
      <c r="N656" s="28">
        <v>53.2976381</v>
      </c>
      <c r="O656" s="28">
        <v>1071.9981399999999</v>
      </c>
      <c r="P656" s="28">
        <v>928.00185599999998</v>
      </c>
    </row>
    <row r="657" spans="1:16" x14ac:dyDescent="0.25">
      <c r="A657" s="40">
        <v>2</v>
      </c>
      <c r="B657" s="40">
        <v>151</v>
      </c>
      <c r="C657" s="28">
        <v>12.577089900000001</v>
      </c>
      <c r="D657" s="28">
        <v>6.7015291799999996</v>
      </c>
      <c r="E657" s="28">
        <v>28.312547899999998</v>
      </c>
      <c r="F657" s="28">
        <v>18.231514300000001</v>
      </c>
      <c r="G657" s="28">
        <v>19.4001798</v>
      </c>
      <c r="H657" s="28">
        <v>63.313476299999998</v>
      </c>
      <c r="I657" s="28">
        <v>36.732663799999997</v>
      </c>
      <c r="J657" s="28">
        <v>991.61820299999999</v>
      </c>
      <c r="K657" s="28">
        <v>992.366579</v>
      </c>
      <c r="L657" s="28">
        <v>5.3087357300000004</v>
      </c>
      <c r="M657" s="28">
        <v>108.853418</v>
      </c>
      <c r="N657" s="28">
        <v>53.077111899999998</v>
      </c>
      <c r="O657" s="28">
        <v>1065.8734300000001</v>
      </c>
      <c r="P657" s="28">
        <v>934.12656700000002</v>
      </c>
    </row>
    <row r="658" spans="1:16" x14ac:dyDescent="0.25">
      <c r="A658" s="40">
        <v>2</v>
      </c>
      <c r="B658" s="40">
        <v>152</v>
      </c>
      <c r="C658" s="28">
        <v>12.607064400000001</v>
      </c>
      <c r="D658" s="28">
        <v>6.7096104499999996</v>
      </c>
      <c r="E658" s="28">
        <v>28.139728000000002</v>
      </c>
      <c r="F658" s="28">
        <v>18.3435986</v>
      </c>
      <c r="G658" s="28">
        <v>19.6230981</v>
      </c>
      <c r="H658" s="28">
        <v>63.401749500000001</v>
      </c>
      <c r="I658" s="28">
        <v>36.816070199999999</v>
      </c>
      <c r="J658" s="28">
        <v>989.74832400000003</v>
      </c>
      <c r="K658" s="28">
        <v>986.35532999999998</v>
      </c>
      <c r="L658" s="28">
        <v>5.3216294499999997</v>
      </c>
      <c r="M658" s="28">
        <v>108.46942300000001</v>
      </c>
      <c r="N658" s="28">
        <v>52.220227299999998</v>
      </c>
      <c r="O658" s="28">
        <v>1068.4621999999999</v>
      </c>
      <c r="P658" s="28">
        <v>931.53780099999994</v>
      </c>
    </row>
    <row r="659" spans="1:16" x14ac:dyDescent="0.25">
      <c r="A659" s="40">
        <v>2</v>
      </c>
      <c r="B659" s="40">
        <v>153</v>
      </c>
      <c r="C659" s="28">
        <v>12.6077814</v>
      </c>
      <c r="D659" s="28">
        <v>6.7584032699999996</v>
      </c>
      <c r="E659" s="28">
        <v>28.096210599999999</v>
      </c>
      <c r="F659" s="28">
        <v>18.652266699999998</v>
      </c>
      <c r="G659" s="28">
        <v>19.6037353</v>
      </c>
      <c r="H659" s="28">
        <v>63.403345299999998</v>
      </c>
      <c r="I659" s="28">
        <v>36.806845299999999</v>
      </c>
      <c r="J659" s="28">
        <v>991.23981600000002</v>
      </c>
      <c r="K659" s="28">
        <v>990.65180099999998</v>
      </c>
      <c r="L659" s="28">
        <v>5.2463086800000003</v>
      </c>
      <c r="M659" s="28">
        <v>108.941849</v>
      </c>
      <c r="N659" s="28">
        <v>52.033819100000002</v>
      </c>
      <c r="O659" s="28">
        <v>1053.3395</v>
      </c>
      <c r="P659" s="28">
        <v>946.66049799999996</v>
      </c>
    </row>
    <row r="660" spans="1:16" x14ac:dyDescent="0.25">
      <c r="A660" s="40">
        <v>2</v>
      </c>
      <c r="B660" s="40">
        <v>154</v>
      </c>
      <c r="C660" s="28">
        <v>12.612708599999999</v>
      </c>
      <c r="D660" s="28">
        <v>6.7694915</v>
      </c>
      <c r="E660" s="28">
        <v>28.146448899999999</v>
      </c>
      <c r="F660" s="28">
        <v>18.7069723</v>
      </c>
      <c r="G660" s="28">
        <v>19.404646899999999</v>
      </c>
      <c r="H660" s="28">
        <v>61.482630200000003</v>
      </c>
      <c r="I660" s="28">
        <v>36.842156500000002</v>
      </c>
      <c r="J660" s="28">
        <v>989.97886800000003</v>
      </c>
      <c r="K660" s="28">
        <v>992.26761399999998</v>
      </c>
      <c r="L660" s="28">
        <v>5.2478685199999999</v>
      </c>
      <c r="M660" s="28">
        <v>109.122788</v>
      </c>
      <c r="N660" s="28">
        <v>51.887687900000003</v>
      </c>
      <c r="O660" s="28">
        <v>1053.6526799999999</v>
      </c>
      <c r="P660" s="28">
        <v>946.34731899999997</v>
      </c>
    </row>
    <row r="661" spans="1:16" x14ac:dyDescent="0.25">
      <c r="A661" s="40">
        <v>2</v>
      </c>
      <c r="B661" s="40">
        <v>155</v>
      </c>
      <c r="C661" s="28">
        <v>12.7059912</v>
      </c>
      <c r="D661" s="28">
        <v>6.81871034</v>
      </c>
      <c r="E661" s="28">
        <v>28.267235500000002</v>
      </c>
      <c r="F661" s="28">
        <v>18.673757699999999</v>
      </c>
      <c r="G661" s="28">
        <v>19.627482799999999</v>
      </c>
      <c r="H661" s="28">
        <v>62.178897300000003</v>
      </c>
      <c r="I661" s="28">
        <v>37.227687600000003</v>
      </c>
      <c r="J661" s="28">
        <v>991.54714799999999</v>
      </c>
      <c r="K661" s="28">
        <v>996.31878700000004</v>
      </c>
      <c r="L661" s="28">
        <v>5.2402875900000003</v>
      </c>
      <c r="M661" s="28">
        <v>109.430789</v>
      </c>
      <c r="N661" s="28">
        <v>51.928676500000002</v>
      </c>
      <c r="O661" s="28">
        <v>1052.1306</v>
      </c>
      <c r="P661" s="28">
        <v>947.86939700000005</v>
      </c>
    </row>
    <row r="662" spans="1:16" x14ac:dyDescent="0.25">
      <c r="A662" s="40">
        <v>2</v>
      </c>
      <c r="B662" s="40">
        <v>156</v>
      </c>
      <c r="C662" s="28">
        <v>12.689667500000001</v>
      </c>
      <c r="D662" s="28">
        <v>6.8094388300000004</v>
      </c>
      <c r="E662" s="28">
        <v>28.664886299999999</v>
      </c>
      <c r="F662" s="28">
        <v>18.6437803</v>
      </c>
      <c r="G662" s="28">
        <v>19.690465</v>
      </c>
      <c r="H662" s="28">
        <v>63.346814999999999</v>
      </c>
      <c r="I662" s="28">
        <v>37.304151400000002</v>
      </c>
      <c r="J662" s="28">
        <v>988.99267199999997</v>
      </c>
      <c r="K662" s="28">
        <v>997.13252</v>
      </c>
      <c r="L662" s="28">
        <v>5.25493042</v>
      </c>
      <c r="M662" s="28">
        <v>109.83501200000001</v>
      </c>
      <c r="N662" s="28">
        <v>52.820799899999997</v>
      </c>
      <c r="O662" s="28">
        <v>1055.0705499999999</v>
      </c>
      <c r="P662" s="28">
        <v>944.92944899999998</v>
      </c>
    </row>
    <row r="663" spans="1:16" x14ac:dyDescent="0.25">
      <c r="A663" s="40">
        <v>2</v>
      </c>
      <c r="B663" s="40">
        <v>157</v>
      </c>
      <c r="C663" s="28">
        <v>12.6738084</v>
      </c>
      <c r="D663" s="28">
        <v>6.8214470900000004</v>
      </c>
      <c r="E663" s="28">
        <v>28.498243500000001</v>
      </c>
      <c r="F663" s="28">
        <v>18.613600600000002</v>
      </c>
      <c r="G663" s="28">
        <v>19.899570600000001</v>
      </c>
      <c r="H663" s="28">
        <v>63.082296800000002</v>
      </c>
      <c r="I663" s="28">
        <v>37.328614199999997</v>
      </c>
      <c r="J663" s="28">
        <v>990.96623</v>
      </c>
      <c r="K663" s="28">
        <v>991.06524400000001</v>
      </c>
      <c r="L663" s="28">
        <v>5.1631284500000003</v>
      </c>
      <c r="M663" s="28">
        <v>109.89349199999999</v>
      </c>
      <c r="N663" s="28">
        <v>52.750426500000003</v>
      </c>
      <c r="O663" s="28">
        <v>1036.6387999999999</v>
      </c>
      <c r="P663" s="28">
        <v>963.36119699999995</v>
      </c>
    </row>
    <row r="664" spans="1:16" x14ac:dyDescent="0.25">
      <c r="A664" s="40">
        <v>2</v>
      </c>
      <c r="B664" s="40">
        <v>158</v>
      </c>
      <c r="C664" s="28">
        <v>12.595234700000001</v>
      </c>
      <c r="D664" s="28">
        <v>6.8490141400000004</v>
      </c>
      <c r="E664" s="28">
        <v>28.4163684</v>
      </c>
      <c r="F664" s="28">
        <v>18.5705241</v>
      </c>
      <c r="G664" s="28">
        <v>19.6987171</v>
      </c>
      <c r="H664" s="28">
        <v>63.461937300000002</v>
      </c>
      <c r="I664" s="28">
        <v>37.285882999999998</v>
      </c>
      <c r="J664" s="28">
        <v>989.04515400000003</v>
      </c>
      <c r="K664" s="28">
        <v>991.70760299999995</v>
      </c>
      <c r="L664" s="28">
        <v>5.1784167099999996</v>
      </c>
      <c r="M664" s="28">
        <v>110.50271600000001</v>
      </c>
      <c r="N664" s="28">
        <v>53.626897100000001</v>
      </c>
      <c r="O664" s="28">
        <v>1039.7083399999999</v>
      </c>
      <c r="P664" s="28">
        <v>960.29166299999997</v>
      </c>
    </row>
    <row r="665" spans="1:16" x14ac:dyDescent="0.25">
      <c r="A665" s="40">
        <v>2</v>
      </c>
      <c r="B665" s="40">
        <v>159</v>
      </c>
      <c r="C665" s="28">
        <v>12.682914800000001</v>
      </c>
      <c r="D665" s="28">
        <v>6.8667578599999999</v>
      </c>
      <c r="E665" s="28">
        <v>28.190035300000002</v>
      </c>
      <c r="F665" s="28">
        <v>18.583132599999999</v>
      </c>
      <c r="G665" s="28">
        <v>19.797331700000001</v>
      </c>
      <c r="H665" s="28">
        <v>63.541563699999998</v>
      </c>
      <c r="I665" s="28">
        <v>37.516961199999997</v>
      </c>
      <c r="J665" s="28">
        <v>991.10963300000003</v>
      </c>
      <c r="K665" s="28">
        <v>995.99923200000001</v>
      </c>
      <c r="L665" s="28">
        <v>5.2540466600000002</v>
      </c>
      <c r="M665" s="28">
        <v>111.00491</v>
      </c>
      <c r="N665" s="28">
        <v>53.3407646</v>
      </c>
      <c r="O665" s="28">
        <v>1054.89311</v>
      </c>
      <c r="P665" s="28">
        <v>945.10688800000003</v>
      </c>
    </row>
    <row r="666" spans="1:16" x14ac:dyDescent="0.25">
      <c r="A666" s="40">
        <v>2</v>
      </c>
      <c r="B666" s="40">
        <v>160</v>
      </c>
      <c r="C666" s="28">
        <v>12.723834800000001</v>
      </c>
      <c r="D666" s="28">
        <v>6.8268199200000002</v>
      </c>
      <c r="E666" s="28">
        <v>28.576477100000002</v>
      </c>
      <c r="F666" s="28">
        <v>18.468735899999999</v>
      </c>
      <c r="G666" s="28">
        <v>20.003626300000001</v>
      </c>
      <c r="H666" s="28">
        <v>63.450221499999998</v>
      </c>
      <c r="I666" s="28">
        <v>37.4019263</v>
      </c>
      <c r="J666" s="28">
        <v>989.43563099999994</v>
      </c>
      <c r="K666" s="28">
        <v>989.31066799999996</v>
      </c>
      <c r="L666" s="28">
        <v>5.3391229300000003</v>
      </c>
      <c r="M666" s="28">
        <v>111.17753</v>
      </c>
      <c r="N666" s="28">
        <v>53.925462799999998</v>
      </c>
      <c r="O666" s="28">
        <v>1071.9744900000001</v>
      </c>
      <c r="P666" s="28">
        <v>928.02550699999995</v>
      </c>
    </row>
    <row r="667" spans="1:16" x14ac:dyDescent="0.25">
      <c r="A667" s="40">
        <v>2</v>
      </c>
      <c r="B667" s="40">
        <v>161</v>
      </c>
      <c r="C667" s="28">
        <v>12.814845800000001</v>
      </c>
      <c r="D667" s="28">
        <v>6.79678425</v>
      </c>
      <c r="E667" s="28">
        <v>28.4111999</v>
      </c>
      <c r="F667" s="28">
        <v>18.592503900000001</v>
      </c>
      <c r="G667" s="28">
        <v>19.940932100000001</v>
      </c>
      <c r="H667" s="28">
        <v>63.583227999999998</v>
      </c>
      <c r="I667" s="28">
        <v>37.469737700000003</v>
      </c>
      <c r="J667" s="28">
        <v>991.40772400000003</v>
      </c>
      <c r="K667" s="28">
        <v>994.70361800000001</v>
      </c>
      <c r="L667" s="28">
        <v>5.2956031399999999</v>
      </c>
      <c r="M667" s="28">
        <v>110.762468</v>
      </c>
      <c r="N667" s="28">
        <v>53.968208099999998</v>
      </c>
      <c r="O667" s="28">
        <v>1063.2367099999999</v>
      </c>
      <c r="P667" s="28">
        <v>936.76329099999998</v>
      </c>
    </row>
    <row r="668" spans="1:16" x14ac:dyDescent="0.25">
      <c r="A668" s="40">
        <v>2</v>
      </c>
      <c r="B668" s="40">
        <v>162</v>
      </c>
      <c r="C668" s="28">
        <v>12.8408593</v>
      </c>
      <c r="D668" s="28">
        <v>6.7598973400000002</v>
      </c>
      <c r="E668" s="28">
        <v>28.0696236</v>
      </c>
      <c r="F668" s="28">
        <v>18.635255000000001</v>
      </c>
      <c r="G668" s="28">
        <v>20.146047200000002</v>
      </c>
      <c r="H668" s="28">
        <v>63.959320200000001</v>
      </c>
      <c r="I668" s="28">
        <v>36.838585799999997</v>
      </c>
      <c r="J668" s="28">
        <v>990.38357900000005</v>
      </c>
      <c r="K668" s="28">
        <v>991.76102600000002</v>
      </c>
      <c r="L668" s="28">
        <v>5.3706639100000002</v>
      </c>
      <c r="M668" s="28">
        <v>110.64491599999999</v>
      </c>
      <c r="N668" s="28">
        <v>54.106326099999997</v>
      </c>
      <c r="O668" s="28">
        <v>1078.3072</v>
      </c>
      <c r="P668" s="28">
        <v>921.69279600000004</v>
      </c>
    </row>
    <row r="669" spans="1:16" x14ac:dyDescent="0.25">
      <c r="A669" s="40">
        <v>2</v>
      </c>
      <c r="B669" s="40">
        <v>163</v>
      </c>
      <c r="C669" s="28">
        <v>12.8258309</v>
      </c>
      <c r="D669" s="28">
        <v>6.7519696299999996</v>
      </c>
      <c r="E669" s="28">
        <v>28.215605100000001</v>
      </c>
      <c r="F669" s="28">
        <v>18.799354300000001</v>
      </c>
      <c r="G669" s="28">
        <v>20.010010300000001</v>
      </c>
      <c r="H669" s="28">
        <v>63.582673</v>
      </c>
      <c r="I669" s="28">
        <v>36.692668300000001</v>
      </c>
      <c r="J669" s="28">
        <v>991.94058700000005</v>
      </c>
      <c r="K669" s="28">
        <v>999.18985899999996</v>
      </c>
      <c r="L669" s="28">
        <v>5.2831183700000004</v>
      </c>
      <c r="M669" s="28">
        <v>110.70971400000001</v>
      </c>
      <c r="N669" s="28">
        <v>54.278848099999998</v>
      </c>
      <c r="O669" s="28">
        <v>1060.7300499999999</v>
      </c>
      <c r="P669" s="28">
        <v>939.26995099999999</v>
      </c>
    </row>
    <row r="670" spans="1:16" x14ac:dyDescent="0.25">
      <c r="A670" s="40">
        <v>2</v>
      </c>
      <c r="B670" s="40">
        <v>164</v>
      </c>
      <c r="C670" s="28">
        <v>12.776685199999999</v>
      </c>
      <c r="D670" s="28">
        <v>6.7382144000000004</v>
      </c>
      <c r="E670" s="28">
        <v>28.341911400000001</v>
      </c>
      <c r="F670" s="28">
        <v>18.703880000000002</v>
      </c>
      <c r="G670" s="28">
        <v>19.9454344</v>
      </c>
      <c r="H670" s="28">
        <v>63.029480399999997</v>
      </c>
      <c r="I670" s="28">
        <v>36.592304499999997</v>
      </c>
      <c r="J670" s="28">
        <v>990.490409</v>
      </c>
      <c r="K670" s="28">
        <v>993.26675899999998</v>
      </c>
      <c r="L670" s="28">
        <v>5.30724368</v>
      </c>
      <c r="M670" s="28">
        <v>111.20840200000001</v>
      </c>
      <c r="N670" s="28">
        <v>54.382619599999998</v>
      </c>
      <c r="O670" s="28">
        <v>1065.57386</v>
      </c>
      <c r="P670" s="28">
        <v>934.42613700000004</v>
      </c>
    </row>
    <row r="671" spans="1:16" x14ac:dyDescent="0.25">
      <c r="A671" s="40">
        <v>2</v>
      </c>
      <c r="B671" s="40">
        <v>165</v>
      </c>
      <c r="C671" s="28">
        <v>12.8908892</v>
      </c>
      <c r="D671" s="28">
        <v>6.72756928</v>
      </c>
      <c r="E671" s="28">
        <v>28.472099100000001</v>
      </c>
      <c r="F671" s="28">
        <v>18.715904099999999</v>
      </c>
      <c r="G671" s="28">
        <v>20.1112295</v>
      </c>
      <c r="H671" s="28">
        <v>63.151724999999999</v>
      </c>
      <c r="I671" s="28">
        <v>36.1283964</v>
      </c>
      <c r="J671" s="28">
        <v>992.65722500000004</v>
      </c>
      <c r="K671" s="28">
        <v>999.15463599999998</v>
      </c>
      <c r="L671" s="28">
        <v>5.2624410800000003</v>
      </c>
      <c r="M671" s="28">
        <v>110.586854</v>
      </c>
      <c r="N671" s="28">
        <v>56.310015700000001</v>
      </c>
      <c r="O671" s="28">
        <v>1056.57852</v>
      </c>
      <c r="P671" s="28">
        <v>943.42147999999997</v>
      </c>
    </row>
    <row r="672" spans="1:16" x14ac:dyDescent="0.25">
      <c r="A672" s="40">
        <v>2</v>
      </c>
      <c r="B672" s="40">
        <v>166</v>
      </c>
      <c r="C672" s="28">
        <v>12.8262061</v>
      </c>
      <c r="D672" s="28">
        <v>6.8092511</v>
      </c>
      <c r="E672" s="28">
        <v>28.473935399999998</v>
      </c>
      <c r="F672" s="28">
        <v>18.899928200000002</v>
      </c>
      <c r="G672" s="28">
        <v>19.973933500000001</v>
      </c>
      <c r="H672" s="28">
        <v>64.234452599999997</v>
      </c>
      <c r="I672" s="28">
        <v>36.173476999999998</v>
      </c>
      <c r="J672" s="28">
        <v>990.44804299999998</v>
      </c>
      <c r="K672" s="28">
        <v>997.98423400000001</v>
      </c>
      <c r="L672" s="28">
        <v>5.3240638499999999</v>
      </c>
      <c r="M672" s="28">
        <v>110.15986100000001</v>
      </c>
      <c r="N672" s="28">
        <v>56.259897000000002</v>
      </c>
      <c r="O672" s="28">
        <v>1068.9509700000001</v>
      </c>
      <c r="P672" s="28">
        <v>931.04902900000002</v>
      </c>
    </row>
    <row r="673" spans="1:16" x14ac:dyDescent="0.25">
      <c r="A673" s="40">
        <v>2</v>
      </c>
      <c r="B673" s="40">
        <v>167</v>
      </c>
      <c r="C673" s="28">
        <v>12.8387511</v>
      </c>
      <c r="D673" s="28">
        <v>6.8864791700000003</v>
      </c>
      <c r="E673" s="28">
        <v>28.323928599999999</v>
      </c>
      <c r="F673" s="28">
        <v>18.969272799999999</v>
      </c>
      <c r="G673" s="28">
        <v>19.7833918</v>
      </c>
      <c r="H673" s="28">
        <v>63.433076</v>
      </c>
      <c r="I673" s="28">
        <v>36.480025599999998</v>
      </c>
      <c r="J673" s="28">
        <v>992.19487800000002</v>
      </c>
      <c r="K673" s="28">
        <v>999.54926499999999</v>
      </c>
      <c r="L673" s="28">
        <v>5.2302733200000002</v>
      </c>
      <c r="M673" s="28">
        <v>109.762953</v>
      </c>
      <c r="N673" s="28">
        <v>55.708371</v>
      </c>
      <c r="O673" s="28">
        <v>1050.11997</v>
      </c>
      <c r="P673" s="28">
        <v>949.88003400000002</v>
      </c>
    </row>
    <row r="674" spans="1:16" x14ac:dyDescent="0.25">
      <c r="A674" s="40">
        <v>2</v>
      </c>
      <c r="B674" s="40">
        <v>168</v>
      </c>
      <c r="C674" s="28">
        <v>12.840791400000001</v>
      </c>
      <c r="D674" s="28">
        <v>6.8868272399999997</v>
      </c>
      <c r="E674" s="28">
        <v>28.147872100000001</v>
      </c>
      <c r="F674" s="28">
        <v>19.1596957</v>
      </c>
      <c r="G674" s="28">
        <v>19.893695000000001</v>
      </c>
      <c r="H674" s="28">
        <v>63.463358499999998</v>
      </c>
      <c r="I674" s="28">
        <v>36.262905799999999</v>
      </c>
      <c r="J674" s="28">
        <v>990.84018400000002</v>
      </c>
      <c r="K674" s="28">
        <v>999.60659799999996</v>
      </c>
      <c r="L674" s="28">
        <v>5.2936211999999996</v>
      </c>
      <c r="M674" s="28">
        <v>109.47639599999999</v>
      </c>
      <c r="N674" s="28">
        <v>55.008005400000002</v>
      </c>
      <c r="O674" s="28">
        <v>1062.83878</v>
      </c>
      <c r="P674" s="28">
        <v>937.16121999999996</v>
      </c>
    </row>
    <row r="675" spans="1:16" x14ac:dyDescent="0.25">
      <c r="A675" s="40">
        <v>2</v>
      </c>
      <c r="B675" s="40">
        <v>169</v>
      </c>
      <c r="C675" s="28">
        <v>12.759153700000001</v>
      </c>
      <c r="D675" s="28">
        <v>6.9174937300000003</v>
      </c>
      <c r="E675" s="28">
        <v>28.2950175</v>
      </c>
      <c r="F675" s="28">
        <v>19.3847381</v>
      </c>
      <c r="G675" s="28">
        <v>19.668982</v>
      </c>
      <c r="H675" s="28">
        <v>62.993078099999998</v>
      </c>
      <c r="I675" s="28">
        <v>36.282899100000002</v>
      </c>
      <c r="J675" s="28">
        <v>991.875134</v>
      </c>
      <c r="K675" s="28">
        <v>996.01804800000002</v>
      </c>
      <c r="L675" s="28">
        <v>5.2077980799999999</v>
      </c>
      <c r="M675" s="28">
        <v>110.211246</v>
      </c>
      <c r="N675" s="28">
        <v>55.466372999999997</v>
      </c>
      <c r="O675" s="28">
        <v>1045.60745</v>
      </c>
      <c r="P675" s="28">
        <v>954.39255100000003</v>
      </c>
    </row>
    <row r="676" spans="1:16" x14ac:dyDescent="0.25">
      <c r="A676" s="40">
        <v>2</v>
      </c>
      <c r="B676" s="40">
        <v>170</v>
      </c>
      <c r="C676" s="28">
        <v>12.732938600000001</v>
      </c>
      <c r="D676" s="28">
        <v>6.9581109899999998</v>
      </c>
      <c r="E676" s="28">
        <v>28.540409</v>
      </c>
      <c r="F676" s="28">
        <v>19.464817400000001</v>
      </c>
      <c r="G676" s="28">
        <v>19.575902500000002</v>
      </c>
      <c r="H676" s="28">
        <v>62.795288999999997</v>
      </c>
      <c r="I676" s="28">
        <v>36.561060400000002</v>
      </c>
      <c r="J676" s="28">
        <v>989.98281299999996</v>
      </c>
      <c r="K676" s="28">
        <v>992.00758199999996</v>
      </c>
      <c r="L676" s="28">
        <v>5.2596771999999996</v>
      </c>
      <c r="M676" s="28">
        <v>109.849507</v>
      </c>
      <c r="N676" s="28">
        <v>56.471000199999999</v>
      </c>
      <c r="O676" s="28">
        <v>1056.0236</v>
      </c>
      <c r="P676" s="28">
        <v>943.976403</v>
      </c>
    </row>
    <row r="677" spans="1:16" x14ac:dyDescent="0.25">
      <c r="A677" s="40">
        <v>2</v>
      </c>
      <c r="B677" s="40">
        <v>171</v>
      </c>
      <c r="C677" s="28">
        <v>12.767670300000001</v>
      </c>
      <c r="D677" s="28">
        <v>6.9510731400000001</v>
      </c>
      <c r="E677" s="28">
        <v>28.555868199999999</v>
      </c>
      <c r="F677" s="28">
        <v>19.6288524</v>
      </c>
      <c r="G677" s="28">
        <v>19.405112500000001</v>
      </c>
      <c r="H677" s="28">
        <v>63.728373699999999</v>
      </c>
      <c r="I677" s="28">
        <v>36.854911000000001</v>
      </c>
      <c r="J677" s="28">
        <v>990.96661600000004</v>
      </c>
      <c r="K677" s="28">
        <v>990.08656699999995</v>
      </c>
      <c r="L677" s="28">
        <v>5.2230800899999998</v>
      </c>
      <c r="M677" s="28">
        <v>109.112538</v>
      </c>
      <c r="N677" s="28">
        <v>58.458898400000002</v>
      </c>
      <c r="O677" s="28">
        <v>1048.6757299999999</v>
      </c>
      <c r="P677" s="28">
        <v>951.32427199999995</v>
      </c>
    </row>
    <row r="678" spans="1:16" x14ac:dyDescent="0.25">
      <c r="A678" s="40">
        <v>2</v>
      </c>
      <c r="B678" s="40">
        <v>172</v>
      </c>
      <c r="C678" s="28">
        <v>12.6639233</v>
      </c>
      <c r="D678" s="28">
        <v>6.9190554999999998</v>
      </c>
      <c r="E678" s="28">
        <v>28.749175099999999</v>
      </c>
      <c r="F678" s="28">
        <v>19.991293800000001</v>
      </c>
      <c r="G678" s="28">
        <v>19.575997699999999</v>
      </c>
      <c r="H678" s="28">
        <v>63.287447999999998</v>
      </c>
      <c r="I678" s="28">
        <v>37.444341700000003</v>
      </c>
      <c r="J678" s="28">
        <v>988.25244999999995</v>
      </c>
      <c r="K678" s="28">
        <v>985.04412000000002</v>
      </c>
      <c r="L678" s="28">
        <v>5.2806059400000001</v>
      </c>
      <c r="M678" s="28">
        <v>109.371725</v>
      </c>
      <c r="N678" s="28">
        <v>58.5173956</v>
      </c>
      <c r="O678" s="28">
        <v>1060.22561</v>
      </c>
      <c r="P678" s="28">
        <v>939.77438800000004</v>
      </c>
    </row>
    <row r="679" spans="1:16" x14ac:dyDescent="0.25">
      <c r="A679" s="40">
        <v>2</v>
      </c>
      <c r="B679" s="40">
        <v>173</v>
      </c>
      <c r="C679" s="28">
        <v>12.7664223</v>
      </c>
      <c r="D679" s="28">
        <v>6.8748845599999999</v>
      </c>
      <c r="E679" s="28">
        <v>28.7697407</v>
      </c>
      <c r="F679" s="28">
        <v>20.3654236</v>
      </c>
      <c r="G679" s="28">
        <v>19.5234816</v>
      </c>
      <c r="H679" s="28">
        <v>65.156910699999997</v>
      </c>
      <c r="I679" s="28">
        <v>37.797909500000003</v>
      </c>
      <c r="J679" s="28">
        <v>988.72833600000001</v>
      </c>
      <c r="K679" s="28">
        <v>989.70540600000004</v>
      </c>
      <c r="L679" s="28">
        <v>5.3453910899999997</v>
      </c>
      <c r="M679" s="28">
        <v>109.9166</v>
      </c>
      <c r="N679" s="28">
        <v>58.875501399999997</v>
      </c>
      <c r="O679" s="28">
        <v>1073.2329999999999</v>
      </c>
      <c r="P679" s="28">
        <v>926.76700200000005</v>
      </c>
    </row>
    <row r="680" spans="1:16" x14ac:dyDescent="0.25">
      <c r="A680" s="40">
        <v>2</v>
      </c>
      <c r="B680" s="40">
        <v>174</v>
      </c>
      <c r="C680" s="28">
        <v>12.739476</v>
      </c>
      <c r="D680" s="28">
        <v>6.8799864099999999</v>
      </c>
      <c r="E680" s="28">
        <v>28.700406099999999</v>
      </c>
      <c r="F680" s="28">
        <v>20.4591888</v>
      </c>
      <c r="G680" s="28">
        <v>19.320658999999999</v>
      </c>
      <c r="H680" s="28">
        <v>65.567826199999999</v>
      </c>
      <c r="I680" s="28">
        <v>37.872298499999999</v>
      </c>
      <c r="J680" s="28">
        <v>987.15211599999998</v>
      </c>
      <c r="K680" s="28">
        <v>990.49679400000002</v>
      </c>
      <c r="L680" s="28">
        <v>5.3031603299999999</v>
      </c>
      <c r="M680" s="28">
        <v>108.772634</v>
      </c>
      <c r="N680" s="28">
        <v>57.488366999999997</v>
      </c>
      <c r="O680" s="28">
        <v>1064.7540200000001</v>
      </c>
      <c r="P680" s="28">
        <v>935.24597900000003</v>
      </c>
    </row>
    <row r="681" spans="1:16" x14ac:dyDescent="0.25">
      <c r="A681" s="40">
        <v>2</v>
      </c>
      <c r="B681" s="40">
        <v>175</v>
      </c>
      <c r="C681" s="28">
        <v>12.5933492</v>
      </c>
      <c r="D681" s="28">
        <v>6.9085293500000002</v>
      </c>
      <c r="E681" s="28">
        <v>28.791229099999999</v>
      </c>
      <c r="F681" s="28">
        <v>20.453850899999999</v>
      </c>
      <c r="G681" s="28">
        <v>19.056401900000001</v>
      </c>
      <c r="H681" s="28">
        <v>64.879661999999996</v>
      </c>
      <c r="I681" s="28">
        <v>37.9187826</v>
      </c>
      <c r="J681" s="28">
        <v>988.11327200000005</v>
      </c>
      <c r="K681" s="28">
        <v>988.90860499999997</v>
      </c>
      <c r="L681" s="28">
        <v>5.2283230200000004</v>
      </c>
      <c r="M681" s="28">
        <v>107.624467</v>
      </c>
      <c r="N681" s="28">
        <v>56.520559400000003</v>
      </c>
      <c r="O681" s="28">
        <v>1049.72839</v>
      </c>
      <c r="P681" s="28">
        <v>950.27161000000001</v>
      </c>
    </row>
    <row r="682" spans="1:16" x14ac:dyDescent="0.25">
      <c r="A682" s="40">
        <v>2</v>
      </c>
      <c r="B682" s="40">
        <v>176</v>
      </c>
      <c r="C682" s="28">
        <v>12.4916771</v>
      </c>
      <c r="D682" s="28">
        <v>6.80784346</v>
      </c>
      <c r="E682" s="28">
        <v>28.8157082</v>
      </c>
      <c r="F682" s="28">
        <v>20.1979215</v>
      </c>
      <c r="G682" s="28">
        <v>18.7688974</v>
      </c>
      <c r="H682" s="28">
        <v>63.914288999999997</v>
      </c>
      <c r="I682" s="28">
        <v>37.915140200000003</v>
      </c>
      <c r="J682" s="28">
        <v>987.19699900000001</v>
      </c>
      <c r="K682" s="28">
        <v>990.54312400000003</v>
      </c>
      <c r="L682" s="28">
        <v>5.2624500000000003</v>
      </c>
      <c r="M682" s="28">
        <v>106.51535</v>
      </c>
      <c r="N682" s="28">
        <v>56.043402399999998</v>
      </c>
      <c r="O682" s="28">
        <v>1056.5803100000001</v>
      </c>
      <c r="P682" s="28">
        <v>943.41968899999995</v>
      </c>
    </row>
    <row r="683" spans="1:16" x14ac:dyDescent="0.25">
      <c r="A683" s="40">
        <v>2</v>
      </c>
      <c r="B683" s="40">
        <v>177</v>
      </c>
      <c r="C683" s="28">
        <v>12.696437700000001</v>
      </c>
      <c r="D683" s="28">
        <v>6.8937195200000003</v>
      </c>
      <c r="E683" s="28">
        <v>28.849178299999998</v>
      </c>
      <c r="F683" s="28">
        <v>20.268642799999999</v>
      </c>
      <c r="G683" s="28">
        <v>18.886180899999999</v>
      </c>
      <c r="H683" s="28">
        <v>62.848511000000002</v>
      </c>
      <c r="I683" s="28">
        <v>37.939923800000003</v>
      </c>
      <c r="J683" s="28">
        <v>989.29266099999995</v>
      </c>
      <c r="K683" s="28">
        <v>986.75205500000004</v>
      </c>
      <c r="L683" s="28">
        <v>5.1998844200000001</v>
      </c>
      <c r="M683" s="28">
        <v>107.17961200000001</v>
      </c>
      <c r="N683" s="28">
        <v>56.4360079</v>
      </c>
      <c r="O683" s="28">
        <v>1044.01857</v>
      </c>
      <c r="P683" s="28">
        <v>955.98143500000003</v>
      </c>
    </row>
    <row r="684" spans="1:16" x14ac:dyDescent="0.25">
      <c r="A684" s="40">
        <v>2</v>
      </c>
      <c r="B684" s="40">
        <v>178</v>
      </c>
      <c r="C684" s="28">
        <v>12.6300208</v>
      </c>
      <c r="D684" s="28">
        <v>6.8514148500000003</v>
      </c>
      <c r="E684" s="28">
        <v>28.811245899999999</v>
      </c>
      <c r="F684" s="28">
        <v>19.937946400000001</v>
      </c>
      <c r="G684" s="28">
        <v>19.0124295</v>
      </c>
      <c r="H684" s="28">
        <v>61.321409000000003</v>
      </c>
      <c r="I684" s="28">
        <v>38.723657099999997</v>
      </c>
      <c r="J684" s="28">
        <v>988.23719300000005</v>
      </c>
      <c r="K684" s="28">
        <v>989.899136</v>
      </c>
      <c r="L684" s="28">
        <v>5.1790412799999999</v>
      </c>
      <c r="M684" s="28">
        <v>106.170653</v>
      </c>
      <c r="N684" s="28">
        <v>56.476622499999998</v>
      </c>
      <c r="O684" s="28">
        <v>1039.83374</v>
      </c>
      <c r="P684" s="28">
        <v>960.16626299999996</v>
      </c>
    </row>
    <row r="685" spans="1:16" x14ac:dyDescent="0.25">
      <c r="A685" s="40">
        <v>2</v>
      </c>
      <c r="B685" s="40">
        <v>179</v>
      </c>
      <c r="C685" s="28">
        <v>12.6827592</v>
      </c>
      <c r="D685" s="28">
        <v>6.7284772400000001</v>
      </c>
      <c r="E685" s="28">
        <v>28.902715000000001</v>
      </c>
      <c r="F685" s="28">
        <v>19.706876000000001</v>
      </c>
      <c r="G685" s="28">
        <v>18.934950000000001</v>
      </c>
      <c r="H685" s="28">
        <v>61.132323800000002</v>
      </c>
      <c r="I685" s="28">
        <v>39.4612926</v>
      </c>
      <c r="J685" s="28">
        <v>989.46400000000006</v>
      </c>
      <c r="K685" s="28">
        <v>986.22675800000002</v>
      </c>
      <c r="L685" s="28">
        <v>5.2520851200000003</v>
      </c>
      <c r="M685" s="28">
        <v>105.818117</v>
      </c>
      <c r="N685" s="28">
        <v>55.292555</v>
      </c>
      <c r="O685" s="28">
        <v>1054.49928</v>
      </c>
      <c r="P685" s="28">
        <v>945.500721</v>
      </c>
    </row>
    <row r="686" spans="1:16" x14ac:dyDescent="0.25">
      <c r="A686" s="40">
        <v>2</v>
      </c>
      <c r="B686" s="40">
        <v>180</v>
      </c>
      <c r="C686" s="28">
        <v>12.632661300000001</v>
      </c>
      <c r="D686" s="28">
        <v>6.7547193400000003</v>
      </c>
      <c r="E686" s="28">
        <v>28.901234500000001</v>
      </c>
      <c r="F686" s="28">
        <v>19.950693999999999</v>
      </c>
      <c r="G686" s="28">
        <v>18.601478400000001</v>
      </c>
      <c r="H686" s="28">
        <v>61.411435699999998</v>
      </c>
      <c r="I686" s="28">
        <v>39.886493600000001</v>
      </c>
      <c r="J686" s="28">
        <v>987.51285199999995</v>
      </c>
      <c r="K686" s="28">
        <v>981.569253</v>
      </c>
      <c r="L686" s="28">
        <v>5.3654190000000002</v>
      </c>
      <c r="M686" s="28">
        <v>105.835247</v>
      </c>
      <c r="N686" s="28">
        <v>54.170886699999997</v>
      </c>
      <c r="O686" s="28">
        <v>1077.25415</v>
      </c>
      <c r="P686" s="28">
        <v>922.74585500000001</v>
      </c>
    </row>
    <row r="687" spans="1:16" x14ac:dyDescent="0.25">
      <c r="A687" s="40">
        <v>2</v>
      </c>
      <c r="B687" s="40">
        <v>181</v>
      </c>
      <c r="C687" s="28">
        <v>12.5670605</v>
      </c>
      <c r="D687" s="28">
        <v>6.6638785900000004</v>
      </c>
      <c r="E687" s="28">
        <v>28.4807661</v>
      </c>
      <c r="F687" s="28">
        <v>19.956171900000001</v>
      </c>
      <c r="G687" s="28">
        <v>18.412745000000001</v>
      </c>
      <c r="H687" s="28">
        <v>60.664531599999997</v>
      </c>
      <c r="I687" s="28">
        <v>39.325618900000002</v>
      </c>
      <c r="J687" s="28">
        <v>989.50937599999997</v>
      </c>
      <c r="K687" s="28">
        <v>979.731717</v>
      </c>
      <c r="L687" s="28">
        <v>5.2810504500000004</v>
      </c>
      <c r="M687" s="28">
        <v>105.402343</v>
      </c>
      <c r="N687" s="28">
        <v>56.238471699999998</v>
      </c>
      <c r="O687" s="28">
        <v>1060.31486</v>
      </c>
      <c r="P687" s="28">
        <v>939.68514100000004</v>
      </c>
    </row>
    <row r="688" spans="1:16" x14ac:dyDescent="0.25">
      <c r="A688" s="40">
        <v>2</v>
      </c>
      <c r="B688" s="40">
        <v>182</v>
      </c>
      <c r="C688" s="28">
        <v>12.5791205</v>
      </c>
      <c r="D688" s="28">
        <v>6.6574440299999997</v>
      </c>
      <c r="E688" s="28">
        <v>28.605836400000001</v>
      </c>
      <c r="F688" s="28">
        <v>20.013663000000001</v>
      </c>
      <c r="G688" s="28">
        <v>18.3310964</v>
      </c>
      <c r="H688" s="28">
        <v>61.0506794</v>
      </c>
      <c r="I688" s="28">
        <v>39.4765753</v>
      </c>
      <c r="J688" s="28">
        <v>988.04850199999998</v>
      </c>
      <c r="K688" s="28">
        <v>977.12993200000005</v>
      </c>
      <c r="L688" s="28">
        <v>5.3395228899999996</v>
      </c>
      <c r="M688" s="28">
        <v>105.65518400000001</v>
      </c>
      <c r="N688" s="28">
        <v>56.145565900000001</v>
      </c>
      <c r="O688" s="28">
        <v>1072.0547999999999</v>
      </c>
      <c r="P688" s="28">
        <v>927.94520499999999</v>
      </c>
    </row>
    <row r="689" spans="1:16" x14ac:dyDescent="0.25">
      <c r="A689" s="40">
        <v>2</v>
      </c>
      <c r="B689" s="40">
        <v>183</v>
      </c>
      <c r="C689" s="28">
        <v>12.496343100000001</v>
      </c>
      <c r="D689" s="28">
        <v>6.6755103900000003</v>
      </c>
      <c r="E689" s="28">
        <v>28.491942699999999</v>
      </c>
      <c r="F689" s="28">
        <v>19.981349600000001</v>
      </c>
      <c r="G689" s="28">
        <v>18.0991559</v>
      </c>
      <c r="H689" s="28">
        <v>60.972088399999997</v>
      </c>
      <c r="I689" s="28">
        <v>38.0734396</v>
      </c>
      <c r="J689" s="28">
        <v>990.08624399999997</v>
      </c>
      <c r="K689" s="28">
        <v>976.16361800000004</v>
      </c>
      <c r="L689" s="28">
        <v>5.3050372299999999</v>
      </c>
      <c r="M689" s="28">
        <v>105.56650500000001</v>
      </c>
      <c r="N689" s="28">
        <v>56.7510774</v>
      </c>
      <c r="O689" s="28">
        <v>1065.13086</v>
      </c>
      <c r="P689" s="28">
        <v>934.86914100000001</v>
      </c>
    </row>
    <row r="690" spans="1:16" x14ac:dyDescent="0.25">
      <c r="A690" s="40">
        <v>2</v>
      </c>
      <c r="B690" s="40">
        <v>184</v>
      </c>
      <c r="C690" s="28">
        <v>12.465859500000001</v>
      </c>
      <c r="D690" s="28">
        <v>6.6007137499999997</v>
      </c>
      <c r="E690" s="28">
        <v>28.541690899999999</v>
      </c>
      <c r="F690" s="28">
        <v>19.826195299999998</v>
      </c>
      <c r="G690" s="28">
        <v>18.059925700000001</v>
      </c>
      <c r="H690" s="28">
        <v>60.208153099999997</v>
      </c>
      <c r="I690" s="28">
        <v>38.071426500000001</v>
      </c>
      <c r="J690" s="28">
        <v>989.34163000000001</v>
      </c>
      <c r="K690" s="28">
        <v>970.37111100000004</v>
      </c>
      <c r="L690" s="28">
        <v>5.4672579299999997</v>
      </c>
      <c r="M690" s="28">
        <v>104.791287</v>
      </c>
      <c r="N690" s="28">
        <v>57.354395400000001</v>
      </c>
      <c r="O690" s="28">
        <v>1097.70109</v>
      </c>
      <c r="P690" s="28">
        <v>902.29891199999997</v>
      </c>
    </row>
    <row r="691" spans="1:16" x14ac:dyDescent="0.25">
      <c r="A691" s="40">
        <v>2</v>
      </c>
      <c r="B691" s="40">
        <v>185</v>
      </c>
      <c r="C691" s="28">
        <v>12.6362053</v>
      </c>
      <c r="D691" s="28">
        <v>6.6432531299999997</v>
      </c>
      <c r="E691" s="28">
        <v>28.788079199999999</v>
      </c>
      <c r="F691" s="28">
        <v>19.921139700000001</v>
      </c>
      <c r="G691" s="28">
        <v>17.809246000000002</v>
      </c>
      <c r="H691" s="28">
        <v>59.942304900000003</v>
      </c>
      <c r="I691" s="28">
        <v>37.922307099999998</v>
      </c>
      <c r="J691" s="28">
        <v>990.97753599999999</v>
      </c>
      <c r="K691" s="28">
        <v>963.39485100000002</v>
      </c>
      <c r="L691" s="28">
        <v>5.4539182200000003</v>
      </c>
      <c r="M691" s="28">
        <v>104.48930799999999</v>
      </c>
      <c r="N691" s="28">
        <v>58.645192000000002</v>
      </c>
      <c r="O691" s="28">
        <v>1095.02278</v>
      </c>
      <c r="P691" s="28">
        <v>904.97722299999998</v>
      </c>
    </row>
    <row r="692" spans="1:16" x14ac:dyDescent="0.25">
      <c r="A692" s="40">
        <v>2</v>
      </c>
      <c r="B692" s="40">
        <v>186</v>
      </c>
      <c r="C692" s="28">
        <v>12.7724052</v>
      </c>
      <c r="D692" s="28">
        <v>6.6624825699999999</v>
      </c>
      <c r="E692" s="28">
        <v>28.520921300000001</v>
      </c>
      <c r="F692" s="28">
        <v>20.247400800000001</v>
      </c>
      <c r="G692" s="28">
        <v>18.039625900000001</v>
      </c>
      <c r="H692" s="28">
        <v>60.8682211</v>
      </c>
      <c r="I692" s="28">
        <v>38.845542100000003</v>
      </c>
      <c r="J692" s="28">
        <v>989.25675200000001</v>
      </c>
      <c r="K692" s="28">
        <v>963.33535500000005</v>
      </c>
      <c r="L692" s="28">
        <v>5.4001003000000001</v>
      </c>
      <c r="M692" s="28">
        <v>105.216261</v>
      </c>
      <c r="N692" s="28">
        <v>59.876869599999999</v>
      </c>
      <c r="O692" s="28">
        <v>1084.2173600000001</v>
      </c>
      <c r="P692" s="28">
        <v>915.78263900000002</v>
      </c>
    </row>
    <row r="693" spans="1:16" x14ac:dyDescent="0.25">
      <c r="A693" s="40">
        <v>2</v>
      </c>
      <c r="B693" s="40">
        <v>187</v>
      </c>
      <c r="C693" s="28">
        <v>12.739512700000001</v>
      </c>
      <c r="D693" s="28">
        <v>6.5873394999999997</v>
      </c>
      <c r="E693" s="28">
        <v>28.458549999999999</v>
      </c>
      <c r="F693" s="28">
        <v>20.2353515</v>
      </c>
      <c r="G693" s="28">
        <v>17.818499800000001</v>
      </c>
      <c r="H693" s="28">
        <v>61.625844100000002</v>
      </c>
      <c r="I693" s="28">
        <v>38.390666500000002</v>
      </c>
      <c r="J693" s="28">
        <v>990.42619300000001</v>
      </c>
      <c r="K693" s="28">
        <v>956.23017200000004</v>
      </c>
      <c r="L693" s="28">
        <v>5.3924266300000001</v>
      </c>
      <c r="M693" s="28">
        <v>105.145709</v>
      </c>
      <c r="N693" s="28">
        <v>59.660414500000002</v>
      </c>
      <c r="O693" s="28">
        <v>1082.6766600000001</v>
      </c>
      <c r="P693" s="28">
        <v>917.32333700000004</v>
      </c>
    </row>
    <row r="694" spans="1:16" x14ac:dyDescent="0.25">
      <c r="A694" s="40">
        <v>2</v>
      </c>
      <c r="B694" s="40">
        <v>188</v>
      </c>
      <c r="C694" s="28">
        <v>12.831038899999999</v>
      </c>
      <c r="D694" s="28">
        <v>6.5904394000000002</v>
      </c>
      <c r="E694" s="28">
        <v>28.3045519</v>
      </c>
      <c r="F694" s="28">
        <v>20.310246800000002</v>
      </c>
      <c r="G694" s="28">
        <v>17.929658700000001</v>
      </c>
      <c r="H694" s="28">
        <v>62.085186800000002</v>
      </c>
      <c r="I694" s="28">
        <v>38.821970299999997</v>
      </c>
      <c r="J694" s="28">
        <v>989.35550899999998</v>
      </c>
      <c r="K694" s="28">
        <v>955.36891500000002</v>
      </c>
      <c r="L694" s="28">
        <v>5.3539037299999999</v>
      </c>
      <c r="M694" s="28">
        <v>104.749405</v>
      </c>
      <c r="N694" s="28">
        <v>60.067413100000003</v>
      </c>
      <c r="O694" s="28">
        <v>1074.9421400000001</v>
      </c>
      <c r="P694" s="28">
        <v>925.05785800000001</v>
      </c>
    </row>
    <row r="695" spans="1:16" x14ac:dyDescent="0.25">
      <c r="A695" s="40">
        <v>2</v>
      </c>
      <c r="B695" s="40">
        <v>189</v>
      </c>
      <c r="C695" s="28">
        <v>12.6771932</v>
      </c>
      <c r="D695" s="28">
        <v>6.5882504099999997</v>
      </c>
      <c r="E695" s="28">
        <v>28.380266599999999</v>
      </c>
      <c r="F695" s="28">
        <v>19.999493699999999</v>
      </c>
      <c r="G695" s="28">
        <v>17.885269300000001</v>
      </c>
      <c r="H695" s="28">
        <v>61.833881400000003</v>
      </c>
      <c r="I695" s="28">
        <v>39.6226293</v>
      </c>
      <c r="J695" s="28">
        <v>989.76187100000004</v>
      </c>
      <c r="K695" s="28">
        <v>953.841453</v>
      </c>
      <c r="L695" s="28">
        <v>5.3586012199999997</v>
      </c>
      <c r="M695" s="28">
        <v>103.79508</v>
      </c>
      <c r="N695" s="28">
        <v>61.052697000000002</v>
      </c>
      <c r="O695" s="28">
        <v>1075.8852899999999</v>
      </c>
      <c r="P695" s="28">
        <v>924.11470899999995</v>
      </c>
    </row>
    <row r="696" spans="1:16" x14ac:dyDescent="0.25">
      <c r="A696" s="40">
        <v>2</v>
      </c>
      <c r="B696" s="40">
        <v>190</v>
      </c>
      <c r="C696" s="28">
        <v>12.7397793</v>
      </c>
      <c r="D696" s="28">
        <v>6.6524264100000003</v>
      </c>
      <c r="E696" s="28">
        <v>28.364993800000001</v>
      </c>
      <c r="F696" s="28">
        <v>19.9515253</v>
      </c>
      <c r="G696" s="28">
        <v>17.943556399999999</v>
      </c>
      <c r="H696" s="28">
        <v>63.1665888</v>
      </c>
      <c r="I696" s="28">
        <v>39.783870499999999</v>
      </c>
      <c r="J696" s="28">
        <v>988.56921</v>
      </c>
      <c r="K696" s="28">
        <v>957.78808500000002</v>
      </c>
      <c r="L696" s="28">
        <v>5.3831466299999997</v>
      </c>
      <c r="M696" s="28">
        <v>104.614205</v>
      </c>
      <c r="N696" s="28">
        <v>61.650550000000003</v>
      </c>
      <c r="O696" s="28">
        <v>1080.8134500000001</v>
      </c>
      <c r="P696" s="28">
        <v>919.18655000000001</v>
      </c>
    </row>
    <row r="697" spans="1:16" x14ac:dyDescent="0.25">
      <c r="A697" s="40">
        <v>2</v>
      </c>
      <c r="B697" s="40">
        <v>191</v>
      </c>
      <c r="C697" s="28">
        <v>12.753383700000001</v>
      </c>
      <c r="D697" s="28">
        <v>6.6635218900000002</v>
      </c>
      <c r="E697" s="28">
        <v>28.724010199999999</v>
      </c>
      <c r="F697" s="28">
        <v>19.9564953</v>
      </c>
      <c r="G697" s="28">
        <v>17.614697199999998</v>
      </c>
      <c r="H697" s="28">
        <v>61.8628024</v>
      </c>
      <c r="I697" s="28">
        <v>39.591850999999998</v>
      </c>
      <c r="J697" s="28">
        <v>989.98606299999994</v>
      </c>
      <c r="K697" s="28">
        <v>960.09773700000005</v>
      </c>
      <c r="L697" s="28">
        <v>5.2844219499999996</v>
      </c>
      <c r="M697" s="28">
        <v>104.294844</v>
      </c>
      <c r="N697" s="28">
        <v>62.2280005</v>
      </c>
      <c r="O697" s="28">
        <v>1060.9917800000001</v>
      </c>
      <c r="P697" s="28">
        <v>939.00822100000005</v>
      </c>
    </row>
    <row r="698" spans="1:16" x14ac:dyDescent="0.25">
      <c r="A698" s="40">
        <v>2</v>
      </c>
      <c r="B698" s="40">
        <v>192</v>
      </c>
      <c r="C698" s="28">
        <v>12.874049299999999</v>
      </c>
      <c r="D698" s="28">
        <v>6.64438481</v>
      </c>
      <c r="E698" s="28">
        <v>29.249547100000001</v>
      </c>
      <c r="F698" s="28">
        <v>20.146077200000001</v>
      </c>
      <c r="G698" s="28">
        <v>17.3574518</v>
      </c>
      <c r="H698" s="28">
        <v>61.768175200000002</v>
      </c>
      <c r="I698" s="28">
        <v>39.561924300000001</v>
      </c>
      <c r="J698" s="28">
        <v>988.93518900000004</v>
      </c>
      <c r="K698" s="28">
        <v>949.95352200000002</v>
      </c>
      <c r="L698" s="28">
        <v>5.29272002</v>
      </c>
      <c r="M698" s="28">
        <v>104.912413</v>
      </c>
      <c r="N698" s="28">
        <v>60.356399500000002</v>
      </c>
      <c r="O698" s="28">
        <v>1062.6578400000001</v>
      </c>
      <c r="P698" s="28">
        <v>937.34215700000004</v>
      </c>
    </row>
    <row r="699" spans="1:16" x14ac:dyDescent="0.25">
      <c r="A699" s="40">
        <v>2</v>
      </c>
      <c r="B699" s="40">
        <v>193</v>
      </c>
      <c r="C699" s="28">
        <v>12.789955900000001</v>
      </c>
      <c r="D699" s="28">
        <v>6.5906672000000004</v>
      </c>
      <c r="E699" s="28">
        <v>29.151767799999998</v>
      </c>
      <c r="F699" s="28">
        <v>20.355368299999999</v>
      </c>
      <c r="G699" s="28">
        <v>17.227067900000002</v>
      </c>
      <c r="H699" s="28">
        <v>61.877242799999998</v>
      </c>
      <c r="I699" s="28">
        <v>39.293988800000001</v>
      </c>
      <c r="J699" s="28">
        <v>989.631889</v>
      </c>
      <c r="K699" s="28">
        <v>949.89598100000001</v>
      </c>
      <c r="L699" s="28">
        <v>5.2904561799999996</v>
      </c>
      <c r="M699" s="28">
        <v>103.814097</v>
      </c>
      <c r="N699" s="28">
        <v>59.875526899999997</v>
      </c>
      <c r="O699" s="28">
        <v>1062.2033200000001</v>
      </c>
      <c r="P699" s="28">
        <v>937.79668400000003</v>
      </c>
    </row>
    <row r="700" spans="1:16" x14ac:dyDescent="0.25">
      <c r="A700" s="40">
        <v>2</v>
      </c>
      <c r="B700" s="40">
        <v>194</v>
      </c>
      <c r="C700" s="28">
        <v>12.659268300000001</v>
      </c>
      <c r="D700" s="28">
        <v>6.55226884</v>
      </c>
      <c r="E700" s="28">
        <v>28.969422300000002</v>
      </c>
      <c r="F700" s="28">
        <v>20.159536299999999</v>
      </c>
      <c r="G700" s="28">
        <v>17.109334499999999</v>
      </c>
      <c r="H700" s="28">
        <v>63.2718208</v>
      </c>
      <c r="I700" s="28">
        <v>39.682653600000002</v>
      </c>
      <c r="J700" s="28">
        <v>988.00632700000006</v>
      </c>
      <c r="K700" s="28">
        <v>948.46011599999997</v>
      </c>
      <c r="L700" s="28">
        <v>5.2532498500000004</v>
      </c>
      <c r="M700" s="28">
        <v>104.031623</v>
      </c>
      <c r="N700" s="28">
        <v>59.926575499999998</v>
      </c>
      <c r="O700" s="28">
        <v>1054.7331300000001</v>
      </c>
      <c r="P700" s="28">
        <v>945.26687000000004</v>
      </c>
    </row>
    <row r="701" spans="1:16" x14ac:dyDescent="0.25">
      <c r="A701" s="40">
        <v>2</v>
      </c>
      <c r="B701" s="40">
        <v>195</v>
      </c>
      <c r="C701" s="28">
        <v>12.798054199999999</v>
      </c>
      <c r="D701" s="28">
        <v>6.50063339</v>
      </c>
      <c r="E701" s="28">
        <v>28.7576994</v>
      </c>
      <c r="F701" s="28">
        <v>20.079864499999999</v>
      </c>
      <c r="G701" s="28">
        <v>16.986162700000001</v>
      </c>
      <c r="H701" s="28">
        <v>62.557179599999998</v>
      </c>
      <c r="I701" s="28">
        <v>39.074611300000001</v>
      </c>
      <c r="J701" s="28">
        <v>990.45239600000002</v>
      </c>
      <c r="K701" s="28">
        <v>944.98453700000005</v>
      </c>
      <c r="L701" s="28">
        <v>5.2574807300000002</v>
      </c>
      <c r="M701" s="28">
        <v>103.517089</v>
      </c>
      <c r="N701" s="28">
        <v>60.152576699999997</v>
      </c>
      <c r="O701" s="28">
        <v>1055.5826</v>
      </c>
      <c r="P701" s="28">
        <v>944.41740500000003</v>
      </c>
    </row>
    <row r="702" spans="1:16" x14ac:dyDescent="0.25">
      <c r="A702" s="40">
        <v>2</v>
      </c>
      <c r="B702" s="40">
        <v>196</v>
      </c>
      <c r="C702" s="28">
        <v>12.688367899999999</v>
      </c>
      <c r="D702" s="28">
        <v>6.5159100299999997</v>
      </c>
      <c r="E702" s="28">
        <v>28.295323700000001</v>
      </c>
      <c r="F702" s="28">
        <v>19.672159000000001</v>
      </c>
      <c r="G702" s="28">
        <v>16.8701361</v>
      </c>
      <c r="H702" s="28">
        <v>60.7308545</v>
      </c>
      <c r="I702" s="28">
        <v>38.909946099999999</v>
      </c>
      <c r="J702" s="28">
        <v>990.93099400000006</v>
      </c>
      <c r="K702" s="28">
        <v>940.78458699999999</v>
      </c>
      <c r="L702" s="28">
        <v>5.2644441899999999</v>
      </c>
      <c r="M702" s="28">
        <v>102.07585899999999</v>
      </c>
      <c r="N702" s="28">
        <v>61.550010299999997</v>
      </c>
      <c r="O702" s="28">
        <v>1056.9807000000001</v>
      </c>
      <c r="P702" s="28">
        <v>943.01930100000004</v>
      </c>
    </row>
    <row r="703" spans="1:16" x14ac:dyDescent="0.25">
      <c r="A703" s="40">
        <v>2</v>
      </c>
      <c r="B703" s="40">
        <v>197</v>
      </c>
      <c r="C703" s="28">
        <v>12.6008418</v>
      </c>
      <c r="D703" s="28">
        <v>6.5108836600000002</v>
      </c>
      <c r="E703" s="28">
        <v>28.421971500000001</v>
      </c>
      <c r="F703" s="28">
        <v>19.568990599999999</v>
      </c>
      <c r="G703" s="28">
        <v>16.737557500000001</v>
      </c>
      <c r="H703" s="28">
        <v>61.380278300000001</v>
      </c>
      <c r="I703" s="28">
        <v>38.736357699999999</v>
      </c>
      <c r="J703" s="28">
        <v>991.56101999999998</v>
      </c>
      <c r="K703" s="28">
        <v>940.70454700000005</v>
      </c>
      <c r="L703" s="28">
        <v>5.16754845</v>
      </c>
      <c r="M703" s="28">
        <v>101.03519900000001</v>
      </c>
      <c r="N703" s="28">
        <v>61.058676699999999</v>
      </c>
      <c r="O703" s="28">
        <v>1037.5262399999999</v>
      </c>
      <c r="P703" s="28">
        <v>962.47376299999996</v>
      </c>
    </row>
    <row r="704" spans="1:16" x14ac:dyDescent="0.25">
      <c r="A704" s="40">
        <v>2</v>
      </c>
      <c r="B704" s="40">
        <v>198</v>
      </c>
      <c r="C704" s="28">
        <v>12.530965500000001</v>
      </c>
      <c r="D704" s="28">
        <v>6.5503284099999997</v>
      </c>
      <c r="E704" s="28">
        <v>28.386370500000002</v>
      </c>
      <c r="F704" s="28">
        <v>19.599165299999999</v>
      </c>
      <c r="G704" s="28">
        <v>16.703911900000001</v>
      </c>
      <c r="H704" s="28">
        <v>62.136112699999998</v>
      </c>
      <c r="I704" s="28">
        <v>39.244735800000001</v>
      </c>
      <c r="J704" s="28">
        <v>990.03469099999995</v>
      </c>
      <c r="K704" s="28">
        <v>935.02009599999997</v>
      </c>
      <c r="L704" s="28">
        <v>5.1985616700000001</v>
      </c>
      <c r="M704" s="28">
        <v>101.22554599999999</v>
      </c>
      <c r="N704" s="28">
        <v>60.900714999999998</v>
      </c>
      <c r="O704" s="28">
        <v>1043.75299</v>
      </c>
      <c r="P704" s="28">
        <v>956.24701300000004</v>
      </c>
    </row>
    <row r="705" spans="1:16" x14ac:dyDescent="0.25">
      <c r="A705" s="40">
        <v>2</v>
      </c>
      <c r="B705" s="40">
        <v>199</v>
      </c>
      <c r="C705" s="28">
        <v>12.4144782</v>
      </c>
      <c r="D705" s="28">
        <v>6.6664514600000002</v>
      </c>
      <c r="E705" s="28">
        <v>28.3345755</v>
      </c>
      <c r="F705" s="28">
        <v>19.621772100000001</v>
      </c>
      <c r="G705" s="28">
        <v>16.834383200000001</v>
      </c>
      <c r="H705" s="28">
        <v>62.443722100000002</v>
      </c>
      <c r="I705" s="28">
        <v>40.264466200000001</v>
      </c>
      <c r="J705" s="28">
        <v>989.73025399999995</v>
      </c>
      <c r="K705" s="28">
        <v>934.39227300000005</v>
      </c>
      <c r="L705" s="28">
        <v>5.1879939100000003</v>
      </c>
      <c r="M705" s="28">
        <v>101.821928</v>
      </c>
      <c r="N705" s="28">
        <v>61.5475171</v>
      </c>
      <c r="O705" s="28">
        <v>1041.63122</v>
      </c>
      <c r="P705" s="28">
        <v>958.36877800000002</v>
      </c>
    </row>
    <row r="706" spans="1:16" x14ac:dyDescent="0.25">
      <c r="A706" s="40">
        <v>2</v>
      </c>
      <c r="B706" s="40">
        <v>200</v>
      </c>
      <c r="C706" s="28">
        <v>12.3840158</v>
      </c>
      <c r="D706" s="28">
        <v>6.7450703399999998</v>
      </c>
      <c r="E706" s="28">
        <v>28.248598600000001</v>
      </c>
      <c r="F706" s="28">
        <v>19.503364399999999</v>
      </c>
      <c r="G706" s="28">
        <v>16.887169700000001</v>
      </c>
      <c r="H706" s="28">
        <v>62.0080673</v>
      </c>
      <c r="I706" s="28">
        <v>39.517530700000002</v>
      </c>
      <c r="J706" s="28">
        <v>989.81344899999999</v>
      </c>
      <c r="K706" s="28">
        <v>933.65536599999996</v>
      </c>
      <c r="L706" s="28">
        <v>5.2043213899999996</v>
      </c>
      <c r="M706" s="28">
        <v>101.86955500000001</v>
      </c>
      <c r="N706" s="28">
        <v>61.192189599999999</v>
      </c>
      <c r="O706" s="28">
        <v>1044.90941</v>
      </c>
      <c r="P706" s="28">
        <v>955.09059100000002</v>
      </c>
    </row>
    <row r="707" spans="1:16" x14ac:dyDescent="0.25">
      <c r="A707" s="40">
        <v>2</v>
      </c>
      <c r="B707" s="40">
        <v>201</v>
      </c>
      <c r="C707" s="28">
        <v>12.3952946</v>
      </c>
      <c r="D707" s="28">
        <v>6.7322964000000001</v>
      </c>
      <c r="E707" s="28">
        <v>28.205625600000001</v>
      </c>
      <c r="F707" s="28">
        <v>19.263351799999999</v>
      </c>
      <c r="G707" s="28">
        <v>16.724193700000001</v>
      </c>
      <c r="H707" s="28">
        <v>62.307365099999998</v>
      </c>
      <c r="I707" s="28">
        <v>39.163374900000001</v>
      </c>
      <c r="J707" s="28">
        <v>991.35900400000003</v>
      </c>
      <c r="K707" s="28">
        <v>937.15227700000003</v>
      </c>
      <c r="L707" s="28">
        <v>5.3126983799999996</v>
      </c>
      <c r="M707" s="28">
        <v>102.263806</v>
      </c>
      <c r="N707" s="28">
        <v>61.705438399999998</v>
      </c>
      <c r="O707" s="28">
        <v>1066.66904</v>
      </c>
      <c r="P707" s="28">
        <v>933.33095700000001</v>
      </c>
    </row>
    <row r="708" spans="1:16" x14ac:dyDescent="0.25">
      <c r="A708" s="40">
        <v>2</v>
      </c>
      <c r="B708" s="40">
        <v>202</v>
      </c>
      <c r="C708" s="28">
        <v>12.3305872</v>
      </c>
      <c r="D708" s="28">
        <v>6.77745146</v>
      </c>
      <c r="E708" s="28">
        <v>28.429041099999999</v>
      </c>
      <c r="F708" s="28">
        <v>18.968802199999999</v>
      </c>
      <c r="G708" s="28">
        <v>16.7527525</v>
      </c>
      <c r="H708" s="28">
        <v>63.403078700000002</v>
      </c>
      <c r="I708" s="28">
        <v>38.666316899999998</v>
      </c>
      <c r="J708" s="28">
        <v>990.68030999999996</v>
      </c>
      <c r="K708" s="28">
        <v>944.61812799999996</v>
      </c>
      <c r="L708" s="28">
        <v>5.3549131000000001</v>
      </c>
      <c r="M708" s="28">
        <v>102.662479</v>
      </c>
      <c r="N708" s="28">
        <v>61.287512100000001</v>
      </c>
      <c r="O708" s="28">
        <v>1075.1448</v>
      </c>
      <c r="P708" s="28">
        <v>924.85519999999997</v>
      </c>
    </row>
    <row r="709" spans="1:16" x14ac:dyDescent="0.25">
      <c r="A709" s="40">
        <v>2</v>
      </c>
      <c r="B709" s="40">
        <v>203</v>
      </c>
      <c r="C709" s="28">
        <v>12.218810899999999</v>
      </c>
      <c r="D709" s="28">
        <v>6.6955874299999998</v>
      </c>
      <c r="E709" s="28">
        <v>28.178823699999999</v>
      </c>
      <c r="F709" s="28">
        <v>18.867104399999999</v>
      </c>
      <c r="G709" s="28">
        <v>16.446710199999998</v>
      </c>
      <c r="H709" s="28">
        <v>63.4060062</v>
      </c>
      <c r="I709" s="28">
        <v>37.765611399999997</v>
      </c>
      <c r="J709" s="28">
        <v>992.29915000000005</v>
      </c>
      <c r="K709" s="28">
        <v>943.89328899999998</v>
      </c>
      <c r="L709" s="28">
        <v>5.2797894999999997</v>
      </c>
      <c r="M709" s="28">
        <v>102.44923</v>
      </c>
      <c r="N709" s="28">
        <v>60.189129600000001</v>
      </c>
      <c r="O709" s="28">
        <v>1060.06169</v>
      </c>
      <c r="P709" s="28">
        <v>939.938312</v>
      </c>
    </row>
    <row r="710" spans="1:16" x14ac:dyDescent="0.25">
      <c r="A710" s="40">
        <v>2</v>
      </c>
      <c r="B710" s="40">
        <v>204</v>
      </c>
      <c r="C710" s="28">
        <v>12.398813499999999</v>
      </c>
      <c r="D710" s="28">
        <v>6.7193753799999998</v>
      </c>
      <c r="E710" s="28">
        <v>28.6285934</v>
      </c>
      <c r="F710" s="28">
        <v>18.924666899999998</v>
      </c>
      <c r="G710" s="28">
        <v>16.1818022</v>
      </c>
      <c r="H710" s="28">
        <v>64.094794699999994</v>
      </c>
      <c r="I710" s="28">
        <v>38.5682373</v>
      </c>
      <c r="J710" s="28">
        <v>991.17456500000003</v>
      </c>
      <c r="K710" s="28">
        <v>948.30635099999995</v>
      </c>
      <c r="L710" s="28">
        <v>5.4081680900000002</v>
      </c>
      <c r="M710" s="28">
        <v>103.69252299999999</v>
      </c>
      <c r="N710" s="28">
        <v>61.166417500000001</v>
      </c>
      <c r="O710" s="28">
        <v>1085.83719</v>
      </c>
      <c r="P710" s="28">
        <v>914.16281000000004</v>
      </c>
    </row>
    <row r="711" spans="1:16" x14ac:dyDescent="0.25">
      <c r="A711" s="40">
        <v>2</v>
      </c>
      <c r="B711" s="40">
        <v>205</v>
      </c>
      <c r="C711" s="28">
        <v>12.3920405</v>
      </c>
      <c r="D711" s="28">
        <v>6.6849749000000003</v>
      </c>
      <c r="E711" s="28">
        <v>28.791297400000001</v>
      </c>
      <c r="F711" s="28">
        <v>19.038290499999999</v>
      </c>
      <c r="G711" s="28">
        <v>16.083265699999998</v>
      </c>
      <c r="H711" s="28">
        <v>64.076198500000004</v>
      </c>
      <c r="I711" s="28">
        <v>38.780184900000002</v>
      </c>
      <c r="J711" s="28">
        <v>991.68272899999999</v>
      </c>
      <c r="K711" s="28">
        <v>953.81441900000004</v>
      </c>
      <c r="L711" s="28">
        <v>5.5317700900000002</v>
      </c>
      <c r="M711" s="28">
        <v>103.071654</v>
      </c>
      <c r="N711" s="28">
        <v>60.793437599999997</v>
      </c>
      <c r="O711" s="28">
        <v>1110.6536599999999</v>
      </c>
      <c r="P711" s="28">
        <v>889.34633799999995</v>
      </c>
    </row>
    <row r="712" spans="1:16" x14ac:dyDescent="0.25">
      <c r="A712" s="40">
        <v>2</v>
      </c>
      <c r="B712" s="40">
        <v>206</v>
      </c>
      <c r="C712" s="28">
        <v>12.464669900000001</v>
      </c>
      <c r="D712" s="28">
        <v>6.6598495499999997</v>
      </c>
      <c r="E712" s="28">
        <v>28.623342699999998</v>
      </c>
      <c r="F712" s="28">
        <v>18.798957399999999</v>
      </c>
      <c r="G712" s="28">
        <v>16.067031799999999</v>
      </c>
      <c r="H712" s="28">
        <v>65.132784000000001</v>
      </c>
      <c r="I712" s="28">
        <v>38.392504000000002</v>
      </c>
      <c r="J712" s="28">
        <v>991.76352299999996</v>
      </c>
      <c r="K712" s="28">
        <v>955.74787700000002</v>
      </c>
      <c r="L712" s="28">
        <v>5.4313608200000001</v>
      </c>
      <c r="M712" s="28">
        <v>103.80762300000001</v>
      </c>
      <c r="N712" s="28">
        <v>60.714790000000001</v>
      </c>
      <c r="O712" s="28">
        <v>1090.4937600000001</v>
      </c>
      <c r="P712" s="28">
        <v>909.50623599999994</v>
      </c>
    </row>
    <row r="713" spans="1:16" x14ac:dyDescent="0.25">
      <c r="A713" s="40">
        <v>2</v>
      </c>
      <c r="B713" s="40">
        <v>207</v>
      </c>
      <c r="C713" s="28">
        <v>12.446542600000001</v>
      </c>
      <c r="D713" s="28">
        <v>6.6503626899999997</v>
      </c>
      <c r="E713" s="28">
        <v>28.527905100000002</v>
      </c>
      <c r="F713" s="28">
        <v>18.6926512</v>
      </c>
      <c r="G713" s="28">
        <v>16.3905654</v>
      </c>
      <c r="H713" s="28">
        <v>64.297978299999997</v>
      </c>
      <c r="I713" s="28">
        <v>38.834690299999998</v>
      </c>
      <c r="J713" s="28">
        <v>992.68057899999997</v>
      </c>
      <c r="K713" s="28">
        <v>958.88780199999997</v>
      </c>
      <c r="L713" s="28">
        <v>5.3826241599999998</v>
      </c>
      <c r="M713" s="28">
        <v>104.43167099999999</v>
      </c>
      <c r="N713" s="28">
        <v>60.776263100000001</v>
      </c>
      <c r="O713" s="28">
        <v>1080.7085500000001</v>
      </c>
      <c r="P713" s="28">
        <v>919.29145000000005</v>
      </c>
    </row>
    <row r="714" spans="1:16" x14ac:dyDescent="0.25">
      <c r="A714" s="40">
        <v>2</v>
      </c>
      <c r="B714" s="40">
        <v>208</v>
      </c>
      <c r="C714" s="28">
        <v>12.5642455</v>
      </c>
      <c r="D714" s="28">
        <v>6.58035981</v>
      </c>
      <c r="E714" s="28">
        <v>28.4246716</v>
      </c>
      <c r="F714" s="28">
        <v>18.624684599999998</v>
      </c>
      <c r="G714" s="28">
        <v>16.6028673</v>
      </c>
      <c r="H714" s="28">
        <v>63.794437199999997</v>
      </c>
      <c r="I714" s="28">
        <v>38.7846981</v>
      </c>
      <c r="J714" s="28">
        <v>992.811421</v>
      </c>
      <c r="K714" s="28">
        <v>958.74087599999996</v>
      </c>
      <c r="L714" s="28">
        <v>5.3905038799999998</v>
      </c>
      <c r="M714" s="28">
        <v>103.687079</v>
      </c>
      <c r="N714" s="28">
        <v>61.6979556</v>
      </c>
      <c r="O714" s="28">
        <v>1082.29062</v>
      </c>
      <c r="P714" s="28">
        <v>917.70938200000001</v>
      </c>
    </row>
    <row r="715" spans="1:16" x14ac:dyDescent="0.25">
      <c r="A715" s="40">
        <v>2</v>
      </c>
      <c r="B715" s="40">
        <v>209</v>
      </c>
      <c r="C715" s="28">
        <v>12.5658675</v>
      </c>
      <c r="D715" s="28">
        <v>6.5172827499999997</v>
      </c>
      <c r="E715" s="28">
        <v>28.757593799999999</v>
      </c>
      <c r="F715" s="28">
        <v>18.6338626</v>
      </c>
      <c r="G715" s="28">
        <v>16.623824599999999</v>
      </c>
      <c r="H715" s="28">
        <v>63.473597300000002</v>
      </c>
      <c r="I715" s="28">
        <v>39.256500500000001</v>
      </c>
      <c r="J715" s="28">
        <v>993.20917199999997</v>
      </c>
      <c r="K715" s="28">
        <v>958.81211399999995</v>
      </c>
      <c r="L715" s="28">
        <v>5.4412318500000003</v>
      </c>
      <c r="M715" s="28">
        <v>104.313627</v>
      </c>
      <c r="N715" s="28">
        <v>61.669674299999997</v>
      </c>
      <c r="O715" s="28">
        <v>1092.4756400000001</v>
      </c>
      <c r="P715" s="28">
        <v>907.52435800000001</v>
      </c>
    </row>
    <row r="716" spans="1:16" x14ac:dyDescent="0.25">
      <c r="A716" s="40">
        <v>2</v>
      </c>
      <c r="B716" s="40">
        <v>210</v>
      </c>
      <c r="C716" s="28">
        <v>12.6151395</v>
      </c>
      <c r="D716" s="28">
        <v>6.5709274500000001</v>
      </c>
      <c r="E716" s="28">
        <v>28.912074400000002</v>
      </c>
      <c r="F716" s="28">
        <v>18.549017800000001</v>
      </c>
      <c r="G716" s="28">
        <v>16.7230673</v>
      </c>
      <c r="H716" s="28">
        <v>63.615448100000002</v>
      </c>
      <c r="I716" s="28">
        <v>39.3857328</v>
      </c>
      <c r="J716" s="28">
        <v>992.71298899999999</v>
      </c>
      <c r="K716" s="28">
        <v>953.24051799999995</v>
      </c>
      <c r="L716" s="28">
        <v>5.40129313</v>
      </c>
      <c r="M716" s="28">
        <v>104.767656</v>
      </c>
      <c r="N716" s="28">
        <v>61.568514999999998</v>
      </c>
      <c r="O716" s="28">
        <v>1084.45686</v>
      </c>
      <c r="P716" s="28">
        <v>915.54314399999998</v>
      </c>
    </row>
    <row r="717" spans="1:16" x14ac:dyDescent="0.25">
      <c r="A717" s="40">
        <v>2</v>
      </c>
      <c r="B717" s="40">
        <v>211</v>
      </c>
      <c r="C717" s="28">
        <v>12.4993766</v>
      </c>
      <c r="D717" s="28">
        <v>6.6026966299999996</v>
      </c>
      <c r="E717" s="28">
        <v>28.808560199999999</v>
      </c>
      <c r="F717" s="28">
        <v>18.342187200000001</v>
      </c>
      <c r="G717" s="28">
        <v>16.614105800000001</v>
      </c>
      <c r="H717" s="28">
        <v>63.171268900000001</v>
      </c>
      <c r="I717" s="28">
        <v>39.216358800000002</v>
      </c>
      <c r="J717" s="28">
        <v>993.87464</v>
      </c>
      <c r="K717" s="28">
        <v>958.90951600000005</v>
      </c>
      <c r="L717" s="28">
        <v>5.3672077600000003</v>
      </c>
      <c r="M717" s="28">
        <v>103.942466</v>
      </c>
      <c r="N717" s="28">
        <v>63.102830099999998</v>
      </c>
      <c r="O717" s="28">
        <v>1077.61329</v>
      </c>
      <c r="P717" s="28">
        <v>922.38671199999999</v>
      </c>
    </row>
    <row r="718" spans="1:16" x14ac:dyDescent="0.25">
      <c r="A718" s="40">
        <v>2</v>
      </c>
      <c r="B718" s="40">
        <v>212</v>
      </c>
      <c r="C718" s="28">
        <v>12.502451300000001</v>
      </c>
      <c r="D718" s="28">
        <v>6.5630814199999996</v>
      </c>
      <c r="E718" s="28">
        <v>28.227649</v>
      </c>
      <c r="F718" s="28">
        <v>18.293010500000001</v>
      </c>
      <c r="G718" s="28">
        <v>16.522725900000001</v>
      </c>
      <c r="H718" s="28">
        <v>62.994834400000002</v>
      </c>
      <c r="I718" s="28">
        <v>39.7753905</v>
      </c>
      <c r="J718" s="28">
        <v>993.67403100000001</v>
      </c>
      <c r="K718" s="28">
        <v>959.657689</v>
      </c>
      <c r="L718" s="28">
        <v>5.39713566</v>
      </c>
      <c r="M718" s="28">
        <v>103.644336</v>
      </c>
      <c r="N718" s="28">
        <v>63.223726999999997</v>
      </c>
      <c r="O718" s="28">
        <v>1083.62213</v>
      </c>
      <c r="P718" s="28">
        <v>916.37786900000003</v>
      </c>
    </row>
    <row r="719" spans="1:16" x14ac:dyDescent="0.25">
      <c r="A719" s="40">
        <v>2</v>
      </c>
      <c r="B719" s="40">
        <v>213</v>
      </c>
      <c r="C719" s="28">
        <v>12.5764601</v>
      </c>
      <c r="D719" s="28">
        <v>6.5434993500000003</v>
      </c>
      <c r="E719" s="28">
        <v>28.300018399999999</v>
      </c>
      <c r="F719" s="28">
        <v>18.392616799999999</v>
      </c>
      <c r="G719" s="28">
        <v>16.711214500000001</v>
      </c>
      <c r="H719" s="28">
        <v>62.524341700000001</v>
      </c>
      <c r="I719" s="28">
        <v>40.320324900000003</v>
      </c>
      <c r="J719" s="28">
        <v>994.32225000000005</v>
      </c>
      <c r="K719" s="28">
        <v>958.35668399999997</v>
      </c>
      <c r="L719" s="28">
        <v>5.4454981</v>
      </c>
      <c r="M719" s="28">
        <v>103.57048399999999</v>
      </c>
      <c r="N719" s="28">
        <v>63.245035100000003</v>
      </c>
      <c r="O719" s="28">
        <v>1093.33221</v>
      </c>
      <c r="P719" s="28">
        <v>906.66779199999996</v>
      </c>
    </row>
    <row r="720" spans="1:16" x14ac:dyDescent="0.25">
      <c r="A720" s="40">
        <v>2</v>
      </c>
      <c r="B720" s="40">
        <v>214</v>
      </c>
      <c r="C720" s="28">
        <v>12.5440386</v>
      </c>
      <c r="D720" s="28">
        <v>6.5425312</v>
      </c>
      <c r="E720" s="28">
        <v>28.157974500000002</v>
      </c>
      <c r="F720" s="28">
        <v>18.2827473</v>
      </c>
      <c r="G720" s="28">
        <v>16.920164199999999</v>
      </c>
      <c r="H720" s="28">
        <v>62.739533700000003</v>
      </c>
      <c r="I720" s="28">
        <v>40.274275799999998</v>
      </c>
      <c r="J720" s="28">
        <v>993.89957400000003</v>
      </c>
      <c r="K720" s="28">
        <v>961.88918899999999</v>
      </c>
      <c r="L720" s="28">
        <v>5.4556030199999999</v>
      </c>
      <c r="M720" s="28">
        <v>103.696978</v>
      </c>
      <c r="N720" s="28">
        <v>62.883020700000003</v>
      </c>
      <c r="O720" s="28">
        <v>1095.36105</v>
      </c>
      <c r="P720" s="28">
        <v>904.63895300000001</v>
      </c>
    </row>
    <row r="721" spans="1:16" x14ac:dyDescent="0.25">
      <c r="A721" s="40">
        <v>2</v>
      </c>
      <c r="B721" s="40">
        <v>215</v>
      </c>
      <c r="C721" s="28">
        <v>12.497657</v>
      </c>
      <c r="D721" s="28">
        <v>6.4973096300000002</v>
      </c>
      <c r="E721" s="28">
        <v>28.321556399999999</v>
      </c>
      <c r="F721" s="28">
        <v>18.387714599999999</v>
      </c>
      <c r="G721" s="28">
        <v>16.939280499999999</v>
      </c>
      <c r="H721" s="28">
        <v>63.446642400000002</v>
      </c>
      <c r="I721" s="28">
        <v>40.573160700000003</v>
      </c>
      <c r="J721" s="28">
        <v>993.84320000000002</v>
      </c>
      <c r="K721" s="28">
        <v>970.05227300000001</v>
      </c>
      <c r="L721" s="28">
        <v>5.3783305099999996</v>
      </c>
      <c r="M721" s="28">
        <v>103.54338799999999</v>
      </c>
      <c r="N721" s="28">
        <v>63.414694900000001</v>
      </c>
      <c r="O721" s="28">
        <v>1079.8464799999999</v>
      </c>
      <c r="P721" s="28">
        <v>920.15351599999997</v>
      </c>
    </row>
    <row r="722" spans="1:16" x14ac:dyDescent="0.25">
      <c r="A722" s="40">
        <v>2</v>
      </c>
      <c r="B722" s="40">
        <v>216</v>
      </c>
      <c r="C722" s="28">
        <v>12.4539881</v>
      </c>
      <c r="D722" s="28">
        <v>6.4904213400000001</v>
      </c>
      <c r="E722" s="28">
        <v>28.4442214</v>
      </c>
      <c r="F722" s="28">
        <v>18.539285799999998</v>
      </c>
      <c r="G722" s="28">
        <v>17.166467799999999</v>
      </c>
      <c r="H722" s="28">
        <v>63.685336599999999</v>
      </c>
      <c r="I722" s="28">
        <v>40.277661600000002</v>
      </c>
      <c r="J722" s="28">
        <v>992.96068000000002</v>
      </c>
      <c r="K722" s="28">
        <v>970.68858899999998</v>
      </c>
      <c r="L722" s="28">
        <v>5.3250811599999999</v>
      </c>
      <c r="M722" s="28">
        <v>104.376282</v>
      </c>
      <c r="N722" s="28">
        <v>62.8031346</v>
      </c>
      <c r="O722" s="28">
        <v>1069.1552200000001</v>
      </c>
      <c r="P722" s="28">
        <v>930.84477500000003</v>
      </c>
    </row>
    <row r="723" spans="1:16" x14ac:dyDescent="0.25">
      <c r="A723" s="40">
        <v>2</v>
      </c>
      <c r="B723" s="40">
        <v>217</v>
      </c>
      <c r="C723" s="28">
        <v>12.407598699999999</v>
      </c>
      <c r="D723" s="28">
        <v>6.4429049200000001</v>
      </c>
      <c r="E723" s="28">
        <v>28.887295600000002</v>
      </c>
      <c r="F723" s="28">
        <v>18.596689999999999</v>
      </c>
      <c r="G723" s="28">
        <v>17.4355817</v>
      </c>
      <c r="H723" s="28">
        <v>63.149121399999999</v>
      </c>
      <c r="I723" s="28">
        <v>41.357401199999998</v>
      </c>
      <c r="J723" s="28">
        <v>992.48384599999997</v>
      </c>
      <c r="K723" s="28">
        <v>973.33640500000001</v>
      </c>
      <c r="L723" s="28">
        <v>5.2843391999999998</v>
      </c>
      <c r="M723" s="28">
        <v>104.825247</v>
      </c>
      <c r="N723" s="28">
        <v>63.685405799999998</v>
      </c>
      <c r="O723" s="28">
        <v>1060.9751699999999</v>
      </c>
      <c r="P723" s="28">
        <v>939.02483400000006</v>
      </c>
    </row>
    <row r="724" spans="1:16" x14ac:dyDescent="0.25">
      <c r="A724" s="40">
        <v>2</v>
      </c>
      <c r="B724" s="40">
        <v>218</v>
      </c>
      <c r="C724" s="28">
        <v>12.4298857</v>
      </c>
      <c r="D724" s="28">
        <v>6.4695704999999997</v>
      </c>
      <c r="E724" s="28">
        <v>28.807887699999998</v>
      </c>
      <c r="F724" s="28">
        <v>18.768898100000001</v>
      </c>
      <c r="G724" s="28">
        <v>17.7164097</v>
      </c>
      <c r="H724" s="28">
        <v>63.401181100000002</v>
      </c>
      <c r="I724" s="28">
        <v>41.670737099999997</v>
      </c>
      <c r="J724" s="28">
        <v>991.71598500000005</v>
      </c>
      <c r="K724" s="28">
        <v>974.67853200000002</v>
      </c>
      <c r="L724" s="28">
        <v>5.2046226300000002</v>
      </c>
      <c r="M724" s="28">
        <v>105.08160100000001</v>
      </c>
      <c r="N724" s="28">
        <v>63.831250300000001</v>
      </c>
      <c r="O724" s="28">
        <v>1044.9698900000001</v>
      </c>
      <c r="P724" s="28">
        <v>955.03010900000004</v>
      </c>
    </row>
    <row r="725" spans="1:16" x14ac:dyDescent="0.25">
      <c r="A725" s="40">
        <v>2</v>
      </c>
      <c r="B725" s="40">
        <v>219</v>
      </c>
      <c r="C725" s="28">
        <v>12.4522037</v>
      </c>
      <c r="D725" s="28">
        <v>6.4728664299999998</v>
      </c>
      <c r="E725" s="28">
        <v>28.4458205</v>
      </c>
      <c r="F725" s="28">
        <v>18.899758200000001</v>
      </c>
      <c r="G725" s="28">
        <v>17.7368685</v>
      </c>
      <c r="H725" s="28">
        <v>63.598691899999999</v>
      </c>
      <c r="I725" s="28">
        <v>41.943649299999997</v>
      </c>
      <c r="J725" s="28">
        <v>992.45813999999996</v>
      </c>
      <c r="K725" s="28">
        <v>972.53132900000003</v>
      </c>
      <c r="L725" s="28">
        <v>5.3086299400000003</v>
      </c>
      <c r="M725" s="28">
        <v>105.841426</v>
      </c>
      <c r="N725" s="28">
        <v>64.428353200000004</v>
      </c>
      <c r="O725" s="28">
        <v>1065.8521900000001</v>
      </c>
      <c r="P725" s="28">
        <v>934.14780699999994</v>
      </c>
    </row>
    <row r="726" spans="1:16" x14ac:dyDescent="0.25">
      <c r="A726" s="40">
        <v>2</v>
      </c>
      <c r="B726" s="40">
        <v>220</v>
      </c>
      <c r="C726" s="28">
        <v>12.2595744</v>
      </c>
      <c r="D726" s="28">
        <v>6.4766072399999999</v>
      </c>
      <c r="E726" s="28">
        <v>28.8865707</v>
      </c>
      <c r="F726" s="28">
        <v>19.178792099999999</v>
      </c>
      <c r="G726" s="28">
        <v>17.768471399999999</v>
      </c>
      <c r="H726" s="28">
        <v>62.593447400000002</v>
      </c>
      <c r="I726" s="28">
        <v>41.501895099999999</v>
      </c>
      <c r="J726" s="28">
        <v>991.28881799999999</v>
      </c>
      <c r="K726" s="28">
        <v>976.25345700000003</v>
      </c>
      <c r="L726" s="28">
        <v>5.3343345400000004</v>
      </c>
      <c r="M726" s="28">
        <v>105.46780800000001</v>
      </c>
      <c r="N726" s="28">
        <v>63.579052900000001</v>
      </c>
      <c r="O726" s="28">
        <v>1071.0130899999999</v>
      </c>
      <c r="P726" s="28">
        <v>928.98690799999997</v>
      </c>
    </row>
    <row r="727" spans="1:16" x14ac:dyDescent="0.25">
      <c r="A727" s="40">
        <v>2</v>
      </c>
      <c r="B727" s="40">
        <v>221</v>
      </c>
      <c r="C727" s="28">
        <v>12.3452719</v>
      </c>
      <c r="D727" s="28">
        <v>6.4282548400000001</v>
      </c>
      <c r="E727" s="28">
        <v>28.683981299999999</v>
      </c>
      <c r="F727" s="28">
        <v>19.110888899999999</v>
      </c>
      <c r="G727" s="28">
        <v>17.390255100000001</v>
      </c>
      <c r="H727" s="28">
        <v>63.6043229</v>
      </c>
      <c r="I727" s="28">
        <v>41.092675200000002</v>
      </c>
      <c r="J727" s="28">
        <v>992.72665400000005</v>
      </c>
      <c r="K727" s="28">
        <v>972.41108499999996</v>
      </c>
      <c r="L727" s="28">
        <v>5.2374870800000002</v>
      </c>
      <c r="M727" s="28">
        <v>105.893395</v>
      </c>
      <c r="N727" s="28">
        <v>62.951545699999997</v>
      </c>
      <c r="O727" s="28">
        <v>1051.5683200000001</v>
      </c>
      <c r="P727" s="28">
        <v>948.43167600000004</v>
      </c>
    </row>
    <row r="728" spans="1:16" x14ac:dyDescent="0.25">
      <c r="A728" s="40">
        <v>2</v>
      </c>
      <c r="B728" s="40">
        <v>222</v>
      </c>
      <c r="C728" s="28">
        <v>12.263461</v>
      </c>
      <c r="D728" s="28">
        <v>6.4198061500000003</v>
      </c>
      <c r="E728" s="28">
        <v>28.427525899999999</v>
      </c>
      <c r="F728" s="28">
        <v>18.851744</v>
      </c>
      <c r="G728" s="28">
        <v>17.3687529</v>
      </c>
      <c r="H728" s="28">
        <v>63.620927000000002</v>
      </c>
      <c r="I728" s="28">
        <v>40.920216699999997</v>
      </c>
      <c r="J728" s="28">
        <v>992.94467399999996</v>
      </c>
      <c r="K728" s="28">
        <v>974.31027300000005</v>
      </c>
      <c r="L728" s="28">
        <v>5.2907462199999999</v>
      </c>
      <c r="M728" s="28">
        <v>106.33496599999999</v>
      </c>
      <c r="N728" s="28">
        <v>63.020743400000001</v>
      </c>
      <c r="O728" s="28">
        <v>1062.2615499999999</v>
      </c>
      <c r="P728" s="28">
        <v>937.73844999999994</v>
      </c>
    </row>
    <row r="729" spans="1:16" x14ac:dyDescent="0.25">
      <c r="A729" s="40">
        <v>2</v>
      </c>
      <c r="B729" s="40">
        <v>223</v>
      </c>
      <c r="C729" s="28">
        <v>12.1901615</v>
      </c>
      <c r="D729" s="28">
        <v>6.3934141799999997</v>
      </c>
      <c r="E729" s="28">
        <v>28.1541429</v>
      </c>
      <c r="F729" s="28">
        <v>18.9928712</v>
      </c>
      <c r="G729" s="28">
        <v>17.387497499999998</v>
      </c>
      <c r="H729" s="28">
        <v>63.853296800000003</v>
      </c>
      <c r="I729" s="28">
        <v>41.145854200000002</v>
      </c>
      <c r="J729" s="28">
        <v>993.26468999999997</v>
      </c>
      <c r="K729" s="28">
        <v>972.18139199999996</v>
      </c>
      <c r="L729" s="28">
        <v>5.2606238599999999</v>
      </c>
      <c r="M729" s="28">
        <v>105.571665</v>
      </c>
      <c r="N729" s="28">
        <v>62.543670200000001</v>
      </c>
      <c r="O729" s="28">
        <v>1056.2136700000001</v>
      </c>
      <c r="P729" s="28">
        <v>943.78633500000001</v>
      </c>
    </row>
    <row r="730" spans="1:16" x14ac:dyDescent="0.25">
      <c r="A730" s="40">
        <v>2</v>
      </c>
      <c r="B730" s="40">
        <v>224</v>
      </c>
      <c r="C730" s="28">
        <v>12.1668708</v>
      </c>
      <c r="D730" s="28">
        <v>6.36885849</v>
      </c>
      <c r="E730" s="28">
        <v>27.971599999999999</v>
      </c>
      <c r="F730" s="28">
        <v>19.0131373</v>
      </c>
      <c r="G730" s="28">
        <v>17.5223899</v>
      </c>
      <c r="H730" s="28">
        <v>63.053046199999997</v>
      </c>
      <c r="I730" s="28">
        <v>39.895212200000003</v>
      </c>
      <c r="J730" s="28">
        <v>994.14732100000003</v>
      </c>
      <c r="K730" s="28">
        <v>969.65622599999995</v>
      </c>
      <c r="L730" s="28">
        <v>5.1896899200000002</v>
      </c>
      <c r="M730" s="28">
        <v>105.67083100000001</v>
      </c>
      <c r="N730" s="28">
        <v>62.2065731</v>
      </c>
      <c r="O730" s="28">
        <v>1041.97174</v>
      </c>
      <c r="P730" s="28">
        <v>958.02825700000005</v>
      </c>
    </row>
    <row r="731" spans="1:16" x14ac:dyDescent="0.25">
      <c r="A731" s="40">
        <v>2</v>
      </c>
      <c r="B731" s="40">
        <v>225</v>
      </c>
      <c r="C731" s="28">
        <v>12.182719499999999</v>
      </c>
      <c r="D731" s="28">
        <v>6.35369078</v>
      </c>
      <c r="E731" s="28">
        <v>27.8211631</v>
      </c>
      <c r="F731" s="28">
        <v>19.0014863</v>
      </c>
      <c r="G731" s="28">
        <v>17.4958627</v>
      </c>
      <c r="H731" s="28">
        <v>63.348795699999997</v>
      </c>
      <c r="I731" s="28">
        <v>41.402217999999998</v>
      </c>
      <c r="J731" s="28">
        <v>993.98031700000001</v>
      </c>
      <c r="K731" s="28">
        <v>968.71351000000004</v>
      </c>
      <c r="L731" s="28">
        <v>5.1672901500000004</v>
      </c>
      <c r="M731" s="28">
        <v>106.16888400000001</v>
      </c>
      <c r="N731" s="28">
        <v>61.535270400000002</v>
      </c>
      <c r="O731" s="28">
        <v>1037.4743800000001</v>
      </c>
      <c r="P731" s="28">
        <v>962.525622</v>
      </c>
    </row>
    <row r="732" spans="1:16" x14ac:dyDescent="0.25">
      <c r="A732" s="40">
        <v>2</v>
      </c>
      <c r="B732" s="40">
        <v>226</v>
      </c>
      <c r="C732" s="28">
        <v>12.2237866</v>
      </c>
      <c r="D732" s="28">
        <v>6.3908560599999999</v>
      </c>
      <c r="E732" s="28">
        <v>28.266718300000001</v>
      </c>
      <c r="F732" s="28">
        <v>19.521993200000001</v>
      </c>
      <c r="G732" s="28">
        <v>17.545532399999999</v>
      </c>
      <c r="H732" s="28">
        <v>63.816827500000002</v>
      </c>
      <c r="I732" s="28">
        <v>41.293156400000001</v>
      </c>
      <c r="J732" s="28">
        <v>992.78555300000005</v>
      </c>
      <c r="K732" s="28">
        <v>978.10610199999996</v>
      </c>
      <c r="L732" s="28">
        <v>5.1640070900000001</v>
      </c>
      <c r="M732" s="28">
        <v>107.040728</v>
      </c>
      <c r="N732" s="28">
        <v>63.1858772</v>
      </c>
      <c r="O732" s="28">
        <v>1036.81521</v>
      </c>
      <c r="P732" s="28">
        <v>963.18478600000003</v>
      </c>
    </row>
    <row r="733" spans="1:16" x14ac:dyDescent="0.25">
      <c r="A733" s="40">
        <v>2</v>
      </c>
      <c r="B733" s="40">
        <v>227</v>
      </c>
      <c r="C733" s="28">
        <v>12.1982552</v>
      </c>
      <c r="D733" s="28">
        <v>6.3330859999999998</v>
      </c>
      <c r="E733" s="28">
        <v>28.214226400000001</v>
      </c>
      <c r="F733" s="28">
        <v>19.356924299999999</v>
      </c>
      <c r="G733" s="28">
        <v>17.410404499999999</v>
      </c>
      <c r="H733" s="28">
        <v>63.553329300000001</v>
      </c>
      <c r="I733" s="28">
        <v>41.236837600000001</v>
      </c>
      <c r="J733" s="28">
        <v>993.74236699999994</v>
      </c>
      <c r="K733" s="28">
        <v>981.00883099999999</v>
      </c>
      <c r="L733" s="28">
        <v>5.3106044800000003</v>
      </c>
      <c r="M733" s="28">
        <v>105.995975</v>
      </c>
      <c r="N733" s="28">
        <v>63.128006399999997</v>
      </c>
      <c r="O733" s="28">
        <v>1066.24864</v>
      </c>
      <c r="P733" s="28">
        <v>933.75136399999997</v>
      </c>
    </row>
    <row r="734" spans="1:16" x14ac:dyDescent="0.25">
      <c r="A734" s="40">
        <v>2</v>
      </c>
      <c r="B734" s="40">
        <v>228</v>
      </c>
      <c r="C734" s="28">
        <v>12.2886141</v>
      </c>
      <c r="D734" s="28">
        <v>6.3828838599999997</v>
      </c>
      <c r="E734" s="28">
        <v>28.240552999999998</v>
      </c>
      <c r="F734" s="28">
        <v>19.2556054</v>
      </c>
      <c r="G734" s="28">
        <v>17.465056199999999</v>
      </c>
      <c r="H734" s="28">
        <v>64.792197000000002</v>
      </c>
      <c r="I734" s="28">
        <v>41.607607999999999</v>
      </c>
      <c r="J734" s="28">
        <v>993.42787699999997</v>
      </c>
      <c r="K734" s="28">
        <v>983.60872099999995</v>
      </c>
      <c r="L734" s="28">
        <v>5.3494108899999997</v>
      </c>
      <c r="M734" s="28">
        <v>105.809355</v>
      </c>
      <c r="N734" s="28">
        <v>64.353764699999999</v>
      </c>
      <c r="O734" s="28">
        <v>1074.04008</v>
      </c>
      <c r="P734" s="28">
        <v>925.95992000000001</v>
      </c>
    </row>
    <row r="735" spans="1:16" x14ac:dyDescent="0.25">
      <c r="A735" s="40">
        <v>2</v>
      </c>
      <c r="B735" s="40">
        <v>229</v>
      </c>
      <c r="C735" s="28">
        <v>12.1501345</v>
      </c>
      <c r="D735" s="28">
        <v>6.4230701400000001</v>
      </c>
      <c r="E735" s="28">
        <v>28.284742099999999</v>
      </c>
      <c r="F735" s="28">
        <v>19.618678800000001</v>
      </c>
      <c r="G735" s="28">
        <v>17.4100626</v>
      </c>
      <c r="H735" s="28">
        <v>65.350478899999999</v>
      </c>
      <c r="I735" s="28">
        <v>41.550347000000002</v>
      </c>
      <c r="J735" s="28">
        <v>992.85086899999999</v>
      </c>
      <c r="K735" s="28">
        <v>983.03456000000006</v>
      </c>
      <c r="L735" s="28">
        <v>5.3408765300000001</v>
      </c>
      <c r="M735" s="28">
        <v>106.03908300000001</v>
      </c>
      <c r="N735" s="28">
        <v>66.213882499999997</v>
      </c>
      <c r="O735" s="28">
        <v>1072.3265799999999</v>
      </c>
      <c r="P735" s="28">
        <v>927.67342399999995</v>
      </c>
    </row>
    <row r="736" spans="1:16" x14ac:dyDescent="0.25">
      <c r="A736" s="40">
        <v>2</v>
      </c>
      <c r="B736" s="40">
        <v>230</v>
      </c>
      <c r="C736" s="28">
        <v>12.2304437</v>
      </c>
      <c r="D736" s="28">
        <v>6.4513792700000003</v>
      </c>
      <c r="E736" s="28">
        <v>28.232963099999999</v>
      </c>
      <c r="F736" s="28">
        <v>19.7310412</v>
      </c>
      <c r="G736" s="28">
        <v>17.459173799999999</v>
      </c>
      <c r="H736" s="28">
        <v>64.8431487</v>
      </c>
      <c r="I736" s="28">
        <v>41.3421047</v>
      </c>
      <c r="J736" s="28">
        <v>993.19659899999999</v>
      </c>
      <c r="K736" s="28">
        <v>986.16337699999997</v>
      </c>
      <c r="L736" s="28">
        <v>5.3792094800000001</v>
      </c>
      <c r="M736" s="28">
        <v>106.20016099999999</v>
      </c>
      <c r="N736" s="28">
        <v>65.918017899999995</v>
      </c>
      <c r="O736" s="28">
        <v>1080.02296</v>
      </c>
      <c r="P736" s="28">
        <v>919.97703999999999</v>
      </c>
    </row>
    <row r="737" spans="1:16" x14ac:dyDescent="0.25">
      <c r="A737" s="40">
        <v>2</v>
      </c>
      <c r="B737" s="40">
        <v>231</v>
      </c>
      <c r="C737" s="28">
        <v>12.320116000000001</v>
      </c>
      <c r="D737" s="28">
        <v>6.4453819899999996</v>
      </c>
      <c r="E737" s="28">
        <v>28.041905799999999</v>
      </c>
      <c r="F737" s="28">
        <v>19.825014100000001</v>
      </c>
      <c r="G737" s="28">
        <v>17.356983199999998</v>
      </c>
      <c r="H737" s="28">
        <v>63.190233999999997</v>
      </c>
      <c r="I737" s="28">
        <v>40.642045000000003</v>
      </c>
      <c r="J737" s="28">
        <v>995.14372500000002</v>
      </c>
      <c r="K737" s="28">
        <v>982.25402499999996</v>
      </c>
      <c r="L737" s="28">
        <v>5.3396106899999998</v>
      </c>
      <c r="M737" s="28">
        <v>106.04094600000001</v>
      </c>
      <c r="N737" s="28">
        <v>63.535254999999999</v>
      </c>
      <c r="O737" s="28">
        <v>1072.07242</v>
      </c>
      <c r="P737" s="28">
        <v>927.92757600000004</v>
      </c>
    </row>
    <row r="738" spans="1:16" x14ac:dyDescent="0.25">
      <c r="A738" s="40">
        <v>2</v>
      </c>
      <c r="B738" s="40">
        <v>232</v>
      </c>
      <c r="C738" s="28">
        <v>12.367775999999999</v>
      </c>
      <c r="D738" s="28">
        <v>6.4049431500000003</v>
      </c>
      <c r="E738" s="28">
        <v>28.212904999999999</v>
      </c>
      <c r="F738" s="28">
        <v>19.643391300000001</v>
      </c>
      <c r="G738" s="28">
        <v>17.256750100000001</v>
      </c>
      <c r="H738" s="28">
        <v>63.410817100000003</v>
      </c>
      <c r="I738" s="28">
        <v>40.696195400000001</v>
      </c>
      <c r="J738" s="28">
        <v>995.30656699999997</v>
      </c>
      <c r="K738" s="28">
        <v>985.99361099999999</v>
      </c>
      <c r="L738" s="28">
        <v>5.2239407599999996</v>
      </c>
      <c r="M738" s="28">
        <v>106.234672</v>
      </c>
      <c r="N738" s="28">
        <v>63.563921399999998</v>
      </c>
      <c r="O738" s="28">
        <v>1048.84853</v>
      </c>
      <c r="P738" s="28">
        <v>951.15146900000002</v>
      </c>
    </row>
    <row r="739" spans="1:16" x14ac:dyDescent="0.25">
      <c r="A739" s="40">
        <v>2</v>
      </c>
      <c r="B739" s="40">
        <v>233</v>
      </c>
      <c r="C739" s="28">
        <v>12.3166311</v>
      </c>
      <c r="D739" s="28">
        <v>6.4234033500000001</v>
      </c>
      <c r="E739" s="28">
        <v>28.149745800000002</v>
      </c>
      <c r="F739" s="28">
        <v>19.6670984</v>
      </c>
      <c r="G739" s="28">
        <v>17.3957263</v>
      </c>
      <c r="H739" s="28">
        <v>63.214296500000003</v>
      </c>
      <c r="I739" s="28">
        <v>39.647359999999999</v>
      </c>
      <c r="J739" s="28">
        <v>996.41678200000001</v>
      </c>
      <c r="K739" s="28">
        <v>980.61092699999995</v>
      </c>
      <c r="L739" s="28">
        <v>5.2144242199999997</v>
      </c>
      <c r="M739" s="28">
        <v>105.322254</v>
      </c>
      <c r="N739" s="28">
        <v>65.078608399999993</v>
      </c>
      <c r="O739" s="28">
        <v>1046.9378300000001</v>
      </c>
      <c r="P739" s="28">
        <v>953.06217400000003</v>
      </c>
    </row>
    <row r="740" spans="1:16" x14ac:dyDescent="0.25">
      <c r="A740" s="40">
        <v>2</v>
      </c>
      <c r="B740" s="40">
        <v>234</v>
      </c>
      <c r="C740" s="28">
        <v>12.311258</v>
      </c>
      <c r="D740" s="28">
        <v>6.4218767100000003</v>
      </c>
      <c r="E740" s="28">
        <v>28.204928299999999</v>
      </c>
      <c r="F740" s="28">
        <v>19.891255600000001</v>
      </c>
      <c r="G740" s="28">
        <v>17.438057499999999</v>
      </c>
      <c r="H740" s="28">
        <v>63.356274900000003</v>
      </c>
      <c r="I740" s="28">
        <v>39.404081099999999</v>
      </c>
      <c r="J740" s="28">
        <v>996.114418</v>
      </c>
      <c r="K740" s="28">
        <v>979.69392800000003</v>
      </c>
      <c r="L740" s="28">
        <v>5.2990283299999996</v>
      </c>
      <c r="M740" s="28">
        <v>105.068685</v>
      </c>
      <c r="N740" s="28">
        <v>66.641240400000001</v>
      </c>
      <c r="O740" s="28">
        <v>1063.9244100000001</v>
      </c>
      <c r="P740" s="28">
        <v>936.07559100000003</v>
      </c>
    </row>
    <row r="741" spans="1:16" x14ac:dyDescent="0.25">
      <c r="A741" s="40">
        <v>2</v>
      </c>
      <c r="B741" s="40">
        <v>235</v>
      </c>
      <c r="C741" s="28">
        <v>12.106360799999999</v>
      </c>
      <c r="D741" s="28">
        <v>6.3962754200000003</v>
      </c>
      <c r="E741" s="28">
        <v>28.1555125</v>
      </c>
      <c r="F741" s="28">
        <v>19.793934499999999</v>
      </c>
      <c r="G741" s="28">
        <v>17.089999500000001</v>
      </c>
      <c r="H741" s="28">
        <v>63.392578899999997</v>
      </c>
      <c r="I741" s="28">
        <v>38.631738900000002</v>
      </c>
      <c r="J741" s="28">
        <v>996.660124</v>
      </c>
      <c r="K741" s="28">
        <v>973.54240000000004</v>
      </c>
      <c r="L741" s="28">
        <v>5.3744350699999996</v>
      </c>
      <c r="M741" s="28">
        <v>104.988151</v>
      </c>
      <c r="N741" s="28">
        <v>68.187768000000005</v>
      </c>
      <c r="O741" s="28">
        <v>1079.0643700000001</v>
      </c>
      <c r="P741" s="28">
        <v>920.93563200000006</v>
      </c>
    </row>
    <row r="742" spans="1:16" x14ac:dyDescent="0.25">
      <c r="A742" s="40">
        <v>2</v>
      </c>
      <c r="B742" s="40">
        <v>236</v>
      </c>
      <c r="C742" s="28">
        <v>12.0043665</v>
      </c>
      <c r="D742" s="28">
        <v>6.3575589900000002</v>
      </c>
      <c r="E742" s="28">
        <v>27.955521600000001</v>
      </c>
      <c r="F742" s="28">
        <v>19.928685099999999</v>
      </c>
      <c r="G742" s="28">
        <v>17.111260099999999</v>
      </c>
      <c r="H742" s="28">
        <v>64.035572099999996</v>
      </c>
      <c r="I742" s="28">
        <v>38.393971899999997</v>
      </c>
      <c r="J742" s="28">
        <v>996.20373099999995</v>
      </c>
      <c r="K742" s="28">
        <v>974.51324599999998</v>
      </c>
      <c r="L742" s="28">
        <v>5.43215074</v>
      </c>
      <c r="M742" s="28">
        <v>105.42768</v>
      </c>
      <c r="N742" s="28">
        <v>70.075201300000003</v>
      </c>
      <c r="O742" s="28">
        <v>1090.65236</v>
      </c>
      <c r="P742" s="28">
        <v>909.34763899999996</v>
      </c>
    </row>
    <row r="743" spans="1:16" x14ac:dyDescent="0.25">
      <c r="A743" s="40">
        <v>2</v>
      </c>
      <c r="B743" s="40">
        <v>237</v>
      </c>
      <c r="C743" s="28">
        <v>12.118581600000001</v>
      </c>
      <c r="D743" s="28">
        <v>6.4322756300000004</v>
      </c>
      <c r="E743" s="28">
        <v>28.259766800000001</v>
      </c>
      <c r="F743" s="28">
        <v>19.8242093</v>
      </c>
      <c r="G743" s="28">
        <v>17.076077399999999</v>
      </c>
      <c r="H743" s="28">
        <v>63.477486599999999</v>
      </c>
      <c r="I743" s="28">
        <v>38.090699600000001</v>
      </c>
      <c r="J743" s="28">
        <v>997.34446600000001</v>
      </c>
      <c r="K743" s="28">
        <v>976.48030000000006</v>
      </c>
      <c r="L743" s="28">
        <v>5.3974159400000001</v>
      </c>
      <c r="M743" s="28">
        <v>105.19081199999999</v>
      </c>
      <c r="N743" s="28">
        <v>69.6568592</v>
      </c>
      <c r="O743" s="28">
        <v>1083.6784</v>
      </c>
      <c r="P743" s="28">
        <v>916.321597</v>
      </c>
    </row>
    <row r="744" spans="1:16" x14ac:dyDescent="0.25">
      <c r="A744" s="40">
        <v>2</v>
      </c>
      <c r="B744" s="40">
        <v>238</v>
      </c>
      <c r="C744" s="28">
        <v>12.2723654</v>
      </c>
      <c r="D744" s="28">
        <v>6.3504125299999998</v>
      </c>
      <c r="E744" s="28">
        <v>28.2787373</v>
      </c>
      <c r="F744" s="28">
        <v>19.6244096</v>
      </c>
      <c r="G744" s="28">
        <v>16.967558199999999</v>
      </c>
      <c r="H744" s="28">
        <v>63.143836299999997</v>
      </c>
      <c r="I744" s="28">
        <v>38.462125800000003</v>
      </c>
      <c r="J744" s="28">
        <v>998.08039299999996</v>
      </c>
      <c r="K744" s="28">
        <v>969.10878400000001</v>
      </c>
      <c r="L744" s="28">
        <v>5.4719008000000002</v>
      </c>
      <c r="M744" s="28">
        <v>104.76992300000001</v>
      </c>
      <c r="N744" s="28">
        <v>68.434936500000006</v>
      </c>
      <c r="O744" s="28">
        <v>1098.63327</v>
      </c>
      <c r="P744" s="28">
        <v>901.36672999999996</v>
      </c>
    </row>
    <row r="745" spans="1:16" x14ac:dyDescent="0.25">
      <c r="A745" s="40">
        <v>2</v>
      </c>
      <c r="B745" s="40">
        <v>239</v>
      </c>
      <c r="C745" s="28">
        <v>12.243615</v>
      </c>
      <c r="D745" s="28">
        <v>6.3116080999999999</v>
      </c>
      <c r="E745" s="28">
        <v>28.465642299999999</v>
      </c>
      <c r="F745" s="28">
        <v>19.6664362</v>
      </c>
      <c r="G745" s="28">
        <v>17.019517199999999</v>
      </c>
      <c r="H745" s="28">
        <v>62.728664199999997</v>
      </c>
      <c r="I745" s="28">
        <v>37.7553421</v>
      </c>
      <c r="J745" s="28">
        <v>998.77604899999994</v>
      </c>
      <c r="K745" s="28">
        <v>965.13368200000002</v>
      </c>
      <c r="L745" s="28">
        <v>5.4913027300000001</v>
      </c>
      <c r="M745" s="28">
        <v>104.241619</v>
      </c>
      <c r="N745" s="28">
        <v>68.887681499999999</v>
      </c>
      <c r="O745" s="28">
        <v>1102.52874</v>
      </c>
      <c r="P745" s="28">
        <v>897.47126300000002</v>
      </c>
    </row>
    <row r="746" spans="1:16" x14ac:dyDescent="0.25">
      <c r="A746" s="40">
        <v>2</v>
      </c>
      <c r="B746" s="40">
        <v>240</v>
      </c>
      <c r="C746" s="28">
        <v>12.2971948</v>
      </c>
      <c r="D746" s="28">
        <v>6.3220279599999998</v>
      </c>
      <c r="E746" s="28">
        <v>28.547251500000002</v>
      </c>
      <c r="F746" s="28">
        <v>19.830261400000001</v>
      </c>
      <c r="G746" s="28">
        <v>16.995248799999999</v>
      </c>
      <c r="H746" s="28">
        <v>63.309659600000003</v>
      </c>
      <c r="I746" s="28">
        <v>37.698158900000003</v>
      </c>
      <c r="J746" s="28">
        <v>998.55866600000002</v>
      </c>
      <c r="K746" s="28">
        <v>963.95023100000003</v>
      </c>
      <c r="L746" s="28">
        <v>5.4747936399999997</v>
      </c>
      <c r="M746" s="28">
        <v>104.303453</v>
      </c>
      <c r="N746" s="28">
        <v>69.798566899999997</v>
      </c>
      <c r="O746" s="28">
        <v>1099.2140899999999</v>
      </c>
      <c r="P746" s="28">
        <v>900.78591400000005</v>
      </c>
    </row>
    <row r="747" spans="1:16" x14ac:dyDescent="0.25">
      <c r="A747" s="40">
        <v>2</v>
      </c>
      <c r="B747" s="40">
        <v>241</v>
      </c>
      <c r="C747" s="28">
        <v>12.1757302</v>
      </c>
      <c r="D747" s="28">
        <v>6.3101344499999996</v>
      </c>
      <c r="E747" s="28">
        <v>28.4537619</v>
      </c>
      <c r="F747" s="28">
        <v>20.178933399999998</v>
      </c>
      <c r="G747" s="28">
        <v>17.137269400000001</v>
      </c>
      <c r="H747" s="28">
        <v>62.435979400000001</v>
      </c>
      <c r="I747" s="28">
        <v>37.840419699999998</v>
      </c>
      <c r="J747" s="28">
        <v>998.23941200000002</v>
      </c>
      <c r="K747" s="28">
        <v>968.97238100000004</v>
      </c>
      <c r="L747" s="28">
        <v>5.45868866</v>
      </c>
      <c r="M747" s="28">
        <v>104.223237</v>
      </c>
      <c r="N747" s="28">
        <v>67.822884599999995</v>
      </c>
      <c r="O747" s="28">
        <v>1095.9805699999999</v>
      </c>
      <c r="P747" s="28">
        <v>904.01942699999995</v>
      </c>
    </row>
    <row r="748" spans="1:16" x14ac:dyDescent="0.25">
      <c r="A748" s="40">
        <v>2</v>
      </c>
      <c r="B748" s="40">
        <v>242</v>
      </c>
      <c r="C748" s="28">
        <v>12.126477899999999</v>
      </c>
      <c r="D748" s="28">
        <v>6.3384295899999996</v>
      </c>
      <c r="E748" s="28">
        <v>28.50009</v>
      </c>
      <c r="F748" s="28">
        <v>20.0644715</v>
      </c>
      <c r="G748" s="28">
        <v>17.173091599999999</v>
      </c>
      <c r="H748" s="28">
        <v>62.574325999999999</v>
      </c>
      <c r="I748" s="28">
        <v>38.881983400000003</v>
      </c>
      <c r="J748" s="28">
        <v>997.388644</v>
      </c>
      <c r="K748" s="28">
        <v>974.91712199999995</v>
      </c>
      <c r="L748" s="28">
        <v>5.39830042</v>
      </c>
      <c r="M748" s="28">
        <v>104.33476</v>
      </c>
      <c r="N748" s="28">
        <v>69.2281263</v>
      </c>
      <c r="O748" s="28">
        <v>1083.85599</v>
      </c>
      <c r="P748" s="28">
        <v>916.14401299999997</v>
      </c>
    </row>
    <row r="749" spans="1:16" x14ac:dyDescent="0.25">
      <c r="A749" s="40">
        <v>2</v>
      </c>
      <c r="B749" s="40">
        <v>243</v>
      </c>
      <c r="C749" s="28">
        <v>12.116898900000001</v>
      </c>
      <c r="D749" s="28">
        <v>6.2874397699999998</v>
      </c>
      <c r="E749" s="28">
        <v>28.4358726</v>
      </c>
      <c r="F749" s="28">
        <v>20.058653499999998</v>
      </c>
      <c r="G749" s="28">
        <v>16.9302481</v>
      </c>
      <c r="H749" s="28">
        <v>62.865516900000003</v>
      </c>
      <c r="I749" s="28">
        <v>39.291481900000001</v>
      </c>
      <c r="J749" s="28">
        <v>997.51855799999998</v>
      </c>
      <c r="K749" s="28">
        <v>973.10662300000001</v>
      </c>
      <c r="L749" s="28">
        <v>5.4754786400000004</v>
      </c>
      <c r="M749" s="28">
        <v>104.611332</v>
      </c>
      <c r="N749" s="28">
        <v>70.055769299999994</v>
      </c>
      <c r="O749" s="28">
        <v>1099.3516199999999</v>
      </c>
      <c r="P749" s="28">
        <v>900.64838099999997</v>
      </c>
    </row>
    <row r="750" spans="1:16" x14ac:dyDescent="0.25">
      <c r="A750" s="40">
        <v>2</v>
      </c>
      <c r="B750" s="40">
        <v>244</v>
      </c>
      <c r="C750" s="28">
        <v>12.1240612</v>
      </c>
      <c r="D750" s="28">
        <v>6.1682572599999999</v>
      </c>
      <c r="E750" s="28">
        <v>28.333628900000001</v>
      </c>
      <c r="F750" s="28">
        <v>20.080207099999999</v>
      </c>
      <c r="G750" s="28">
        <v>17.1447374</v>
      </c>
      <c r="H750" s="28">
        <v>63.170716300000002</v>
      </c>
      <c r="I750" s="28">
        <v>39.601202800000003</v>
      </c>
      <c r="J750" s="28">
        <v>997.28412800000001</v>
      </c>
      <c r="K750" s="28">
        <v>970.45995300000004</v>
      </c>
      <c r="L750" s="28">
        <v>5.4371557800000003</v>
      </c>
      <c r="M750" s="28">
        <v>104.39576</v>
      </c>
      <c r="N750" s="28">
        <v>69.330416299999996</v>
      </c>
      <c r="O750" s="28">
        <v>1091.65726</v>
      </c>
      <c r="P750" s="28">
        <v>908.34274000000005</v>
      </c>
    </row>
    <row r="751" spans="1:16" x14ac:dyDescent="0.25">
      <c r="A751" s="40">
        <v>2</v>
      </c>
      <c r="B751" s="40">
        <v>245</v>
      </c>
      <c r="C751" s="28">
        <v>12.1600058</v>
      </c>
      <c r="D751" s="28">
        <v>6.1304563099999996</v>
      </c>
      <c r="E751" s="28">
        <v>28.700585199999999</v>
      </c>
      <c r="F751" s="28">
        <v>20.248463699999999</v>
      </c>
      <c r="G751" s="28">
        <v>17.139480200000001</v>
      </c>
      <c r="H751" s="28">
        <v>62.123183099999999</v>
      </c>
      <c r="I751" s="28">
        <v>39.841535899999997</v>
      </c>
      <c r="J751" s="28">
        <v>997.426109</v>
      </c>
      <c r="K751" s="28">
        <v>973.04414399999996</v>
      </c>
      <c r="L751" s="28">
        <v>5.4105599599999996</v>
      </c>
      <c r="M751" s="28">
        <v>104.86116699999999</v>
      </c>
      <c r="N751" s="28">
        <v>69.222084800000005</v>
      </c>
      <c r="O751" s="28">
        <v>1086.3174200000001</v>
      </c>
      <c r="P751" s="28">
        <v>913.68257600000004</v>
      </c>
    </row>
    <row r="752" spans="1:16" x14ac:dyDescent="0.25">
      <c r="A752" s="40">
        <v>2</v>
      </c>
      <c r="B752" s="40">
        <v>246</v>
      </c>
      <c r="C752" s="28">
        <v>12.207955</v>
      </c>
      <c r="D752" s="28">
        <v>6.0873574399999999</v>
      </c>
      <c r="E752" s="28">
        <v>29.024618700000001</v>
      </c>
      <c r="F752" s="28">
        <v>20.339439500000001</v>
      </c>
      <c r="G752" s="28">
        <v>17.392829500000001</v>
      </c>
      <c r="H752" s="28">
        <v>61.627698199999998</v>
      </c>
      <c r="I752" s="28">
        <v>39.759263300000001</v>
      </c>
      <c r="J752" s="28">
        <v>997.44153400000005</v>
      </c>
      <c r="K752" s="28">
        <v>974.46696199999997</v>
      </c>
      <c r="L752" s="28">
        <v>5.34874589</v>
      </c>
      <c r="M752" s="28">
        <v>105.147797</v>
      </c>
      <c r="N752" s="28">
        <v>67.175137000000007</v>
      </c>
      <c r="O752" s="28">
        <v>1073.9065599999999</v>
      </c>
      <c r="P752" s="28">
        <v>926.093436</v>
      </c>
    </row>
    <row r="753" spans="1:16" x14ac:dyDescent="0.25">
      <c r="A753" s="40">
        <v>2</v>
      </c>
      <c r="B753" s="40">
        <v>247</v>
      </c>
      <c r="C753" s="28">
        <v>12.103422200000001</v>
      </c>
      <c r="D753" s="28">
        <v>6.09308652</v>
      </c>
      <c r="E753" s="28">
        <v>29.100829399999999</v>
      </c>
      <c r="F753" s="28">
        <v>20.393284600000001</v>
      </c>
      <c r="G753" s="28">
        <v>17.489002800000002</v>
      </c>
      <c r="H753" s="28">
        <v>61.275108600000003</v>
      </c>
      <c r="I753" s="28">
        <v>39.625370099999998</v>
      </c>
      <c r="J753" s="28">
        <v>997.41101200000003</v>
      </c>
      <c r="K753" s="28">
        <v>975.04867999999999</v>
      </c>
      <c r="L753" s="28">
        <v>5.3623339699999999</v>
      </c>
      <c r="M753" s="28">
        <v>104.707244</v>
      </c>
      <c r="N753" s="28">
        <v>66.946085999999994</v>
      </c>
      <c r="O753" s="28">
        <v>1076.63474</v>
      </c>
      <c r="P753" s="28">
        <v>923.36525800000004</v>
      </c>
    </row>
    <row r="754" spans="1:16" x14ac:dyDescent="0.25">
      <c r="A754" s="40">
        <v>2</v>
      </c>
      <c r="B754" s="40">
        <v>248</v>
      </c>
      <c r="C754" s="28">
        <v>12.0989802</v>
      </c>
      <c r="D754" s="28">
        <v>6.0567376299999998</v>
      </c>
      <c r="E754" s="28">
        <v>28.886382600000001</v>
      </c>
      <c r="F754" s="28">
        <v>20.250228499999999</v>
      </c>
      <c r="G754" s="28">
        <v>17.494397299999999</v>
      </c>
      <c r="H754" s="28">
        <v>61.055099300000002</v>
      </c>
      <c r="I754" s="28">
        <v>39.167182099999998</v>
      </c>
      <c r="J754" s="28">
        <v>998.33948899999996</v>
      </c>
      <c r="K754" s="28">
        <v>976.70489999999995</v>
      </c>
      <c r="L754" s="28">
        <v>5.4664735799999997</v>
      </c>
      <c r="M754" s="28">
        <v>103.756002</v>
      </c>
      <c r="N754" s="28">
        <v>66.019368900000003</v>
      </c>
      <c r="O754" s="28">
        <v>1097.5436099999999</v>
      </c>
      <c r="P754" s="28">
        <v>902.45639200000005</v>
      </c>
    </row>
    <row r="755" spans="1:16" x14ac:dyDescent="0.25">
      <c r="A755" s="40">
        <v>2</v>
      </c>
      <c r="B755" s="40">
        <v>249</v>
      </c>
      <c r="C755" s="28">
        <v>12.175019300000001</v>
      </c>
      <c r="D755" s="28">
        <v>6.0576751800000004</v>
      </c>
      <c r="E755" s="28">
        <v>29.059056999999999</v>
      </c>
      <c r="F755" s="28">
        <v>20.3987436</v>
      </c>
      <c r="G755" s="28">
        <v>17.730994500000001</v>
      </c>
      <c r="H755" s="28">
        <v>62.104239</v>
      </c>
      <c r="I755" s="28">
        <v>38.799297799999998</v>
      </c>
      <c r="J755" s="28">
        <v>998.40766099999996</v>
      </c>
      <c r="K755" s="28">
        <v>969.61860300000001</v>
      </c>
      <c r="L755" s="28">
        <v>5.4854552099999996</v>
      </c>
      <c r="M755" s="28">
        <v>103.483554</v>
      </c>
      <c r="N755" s="28">
        <v>65.379204400000006</v>
      </c>
      <c r="O755" s="28">
        <v>1101.3546899999999</v>
      </c>
      <c r="P755" s="28">
        <v>898.64531399999998</v>
      </c>
    </row>
    <row r="756" spans="1:16" x14ac:dyDescent="0.25">
      <c r="A756" s="40">
        <v>2</v>
      </c>
      <c r="B756" s="40">
        <v>250</v>
      </c>
      <c r="C756" s="28">
        <v>12.2650854</v>
      </c>
      <c r="D756" s="28">
        <v>6.0294423400000001</v>
      </c>
      <c r="E756" s="28">
        <v>29.175252</v>
      </c>
      <c r="F756" s="28">
        <v>20.424975499999999</v>
      </c>
      <c r="G756" s="28">
        <v>17.384684499999999</v>
      </c>
      <c r="H756" s="28">
        <v>62.489244599999999</v>
      </c>
      <c r="I756" s="28">
        <v>38.286766100000001</v>
      </c>
      <c r="J756" s="28">
        <v>999.17722600000002</v>
      </c>
      <c r="K756" s="28">
        <v>970.50767699999994</v>
      </c>
      <c r="L756" s="28">
        <v>5.4981725499999996</v>
      </c>
      <c r="M756" s="28">
        <v>103.164924</v>
      </c>
      <c r="N756" s="28">
        <v>65.820992799999999</v>
      </c>
      <c r="O756" s="28">
        <v>1103.90804</v>
      </c>
      <c r="P756" s="28">
        <v>896.09195999999997</v>
      </c>
    </row>
    <row r="757" spans="1:16" x14ac:dyDescent="0.25">
      <c r="A757" s="40">
        <v>2</v>
      </c>
      <c r="B757" s="40">
        <v>251</v>
      </c>
      <c r="C757" s="28">
        <v>12.2333809</v>
      </c>
      <c r="D757" s="28">
        <v>6.0435605199999998</v>
      </c>
      <c r="E757" s="28">
        <v>29.029312900000001</v>
      </c>
      <c r="F757" s="28">
        <v>20.553420299999999</v>
      </c>
      <c r="G757" s="28">
        <v>17.332890200000001</v>
      </c>
      <c r="H757" s="28">
        <v>62.917221599999998</v>
      </c>
      <c r="I757" s="28">
        <v>39.115793699999998</v>
      </c>
      <c r="J757" s="28">
        <v>998.59693600000003</v>
      </c>
      <c r="K757" s="28">
        <v>969.68433500000003</v>
      </c>
      <c r="L757" s="28">
        <v>5.5535302800000004</v>
      </c>
      <c r="M757" s="28">
        <v>103.765488</v>
      </c>
      <c r="N757" s="28">
        <v>65.2601236</v>
      </c>
      <c r="O757" s="28">
        <v>1115.02261</v>
      </c>
      <c r="P757" s="28">
        <v>884.97738500000003</v>
      </c>
    </row>
    <row r="758" spans="1:16" x14ac:dyDescent="0.25">
      <c r="A758" s="40">
        <v>2</v>
      </c>
      <c r="B758" s="40">
        <v>252</v>
      </c>
      <c r="C758" s="28">
        <v>12.1770114</v>
      </c>
      <c r="D758" s="28">
        <v>5.9697520300000004</v>
      </c>
      <c r="E758" s="28">
        <v>29.150066599999999</v>
      </c>
      <c r="F758" s="28">
        <v>20.585577499999999</v>
      </c>
      <c r="G758" s="28">
        <v>17.393076499999999</v>
      </c>
      <c r="H758" s="28">
        <v>62.735862300000001</v>
      </c>
      <c r="I758" s="28">
        <v>39.166446299999997</v>
      </c>
      <c r="J758" s="28">
        <v>998.50324799999999</v>
      </c>
      <c r="K758" s="28">
        <v>968.41580799999997</v>
      </c>
      <c r="L758" s="28">
        <v>5.4668487099999998</v>
      </c>
      <c r="M758" s="28">
        <v>102.75202899999999</v>
      </c>
      <c r="N758" s="28">
        <v>65.050724000000002</v>
      </c>
      <c r="O758" s="28">
        <v>1097.6189300000001</v>
      </c>
      <c r="P758" s="28">
        <v>902.38107500000001</v>
      </c>
    </row>
    <row r="759" spans="1:16" x14ac:dyDescent="0.25">
      <c r="A759" s="40">
        <v>3</v>
      </c>
      <c r="B759" s="40">
        <v>1</v>
      </c>
      <c r="C759" s="28">
        <v>12.2961496</v>
      </c>
      <c r="D759" s="28">
        <v>6.0050412599999996</v>
      </c>
      <c r="E759" s="28">
        <v>29.222990299999999</v>
      </c>
      <c r="F759" s="28">
        <v>20.778033900000001</v>
      </c>
      <c r="G759" s="28">
        <v>17.0832628</v>
      </c>
      <c r="H759" s="28">
        <v>62.644247800000002</v>
      </c>
      <c r="I759" s="28">
        <v>38.1898944</v>
      </c>
      <c r="J759" s="28">
        <v>962.38440900000001</v>
      </c>
      <c r="K759" s="28">
        <v>919.16751699999998</v>
      </c>
      <c r="L759" s="28">
        <v>5.4714650799999998</v>
      </c>
      <c r="M759" s="28">
        <v>102.407437</v>
      </c>
      <c r="N759" s="28">
        <v>65.791123400000004</v>
      </c>
      <c r="O759" s="28">
        <v>1000.84443</v>
      </c>
      <c r="P759" s="28">
        <v>999.15557100000001</v>
      </c>
    </row>
    <row r="760" spans="1:16" x14ac:dyDescent="0.25">
      <c r="A760" s="40">
        <v>3</v>
      </c>
      <c r="B760" s="40">
        <v>2</v>
      </c>
      <c r="C760" s="28">
        <v>12.255130400000001</v>
      </c>
      <c r="D760" s="28">
        <v>5.99437117</v>
      </c>
      <c r="E760" s="28">
        <v>29.250710900000001</v>
      </c>
      <c r="F760" s="28">
        <v>20.7721518</v>
      </c>
      <c r="G760" s="28">
        <v>17.051087800000001</v>
      </c>
      <c r="H760" s="28">
        <v>62.577005999999997</v>
      </c>
      <c r="I760" s="28">
        <v>37.614336000000002</v>
      </c>
      <c r="J760" s="28">
        <v>953.34473100000002</v>
      </c>
      <c r="K760" s="28">
        <v>919.10850700000003</v>
      </c>
      <c r="L760" s="28">
        <v>5.4444099699999997</v>
      </c>
      <c r="M760" s="28">
        <v>101.980011</v>
      </c>
      <c r="N760" s="28">
        <v>65.937204800000004</v>
      </c>
      <c r="O760" s="28">
        <v>995.89549</v>
      </c>
      <c r="P760" s="28">
        <v>1004.10451</v>
      </c>
    </row>
    <row r="761" spans="1:16" x14ac:dyDescent="0.25">
      <c r="A761" s="40">
        <v>3</v>
      </c>
      <c r="B761" s="40">
        <v>3</v>
      </c>
      <c r="C761" s="28">
        <v>12.354778400000001</v>
      </c>
      <c r="D761" s="28">
        <v>6.0133412100000001</v>
      </c>
      <c r="E761" s="28">
        <v>29.250329099999998</v>
      </c>
      <c r="F761" s="28">
        <v>20.047765800000001</v>
      </c>
      <c r="G761" s="28">
        <v>16.975487399999999</v>
      </c>
      <c r="H761" s="28">
        <v>60.491669199999997</v>
      </c>
      <c r="I761" s="28">
        <v>36.938898000000002</v>
      </c>
      <c r="J761" s="28">
        <v>958.36899300000005</v>
      </c>
      <c r="K761" s="28">
        <v>921.01707699999997</v>
      </c>
      <c r="L761" s="28">
        <v>5.4536956300000003</v>
      </c>
      <c r="M761" s="28">
        <v>101.507238</v>
      </c>
      <c r="N761" s="28">
        <v>67.109950299999994</v>
      </c>
      <c r="O761" s="28">
        <v>997.59402799999998</v>
      </c>
      <c r="P761" s="28">
        <v>1002.40597</v>
      </c>
    </row>
    <row r="762" spans="1:16" x14ac:dyDescent="0.25">
      <c r="A762" s="40">
        <v>3</v>
      </c>
      <c r="B762" s="40">
        <v>4</v>
      </c>
      <c r="C762" s="28">
        <v>12.4240709</v>
      </c>
      <c r="D762" s="28">
        <v>6.0259906299999999</v>
      </c>
      <c r="E762" s="28">
        <v>29.8634466</v>
      </c>
      <c r="F762" s="28">
        <v>19.979541999999999</v>
      </c>
      <c r="G762" s="28">
        <v>17.169995400000001</v>
      </c>
      <c r="H762" s="28">
        <v>60.8962693</v>
      </c>
      <c r="I762" s="28">
        <v>36.942334500000001</v>
      </c>
      <c r="J762" s="28">
        <v>951.26817700000004</v>
      </c>
      <c r="K762" s="28">
        <v>920.09638399999994</v>
      </c>
      <c r="L762" s="28">
        <v>5.3798384700000002</v>
      </c>
      <c r="M762" s="28">
        <v>101.95517100000001</v>
      </c>
      <c r="N762" s="28">
        <v>67.612541399999998</v>
      </c>
      <c r="O762" s="28">
        <v>984.084022</v>
      </c>
      <c r="P762" s="28">
        <v>1015.91598</v>
      </c>
    </row>
    <row r="763" spans="1:16" x14ac:dyDescent="0.25">
      <c r="A763" s="40">
        <v>3</v>
      </c>
      <c r="B763" s="40">
        <v>5</v>
      </c>
      <c r="C763" s="28">
        <v>12.5719475</v>
      </c>
      <c r="D763" s="28">
        <v>6.0620291000000002</v>
      </c>
      <c r="E763" s="28">
        <v>29.909410999999999</v>
      </c>
      <c r="F763" s="28">
        <v>19.978676100000001</v>
      </c>
      <c r="G763" s="28">
        <v>17.369743499999998</v>
      </c>
      <c r="H763" s="28">
        <v>59.491567400000001</v>
      </c>
      <c r="I763" s="28">
        <v>36.641637600000003</v>
      </c>
      <c r="J763" s="28">
        <v>956.746534</v>
      </c>
      <c r="K763" s="28">
        <v>916.14092200000005</v>
      </c>
      <c r="L763" s="28">
        <v>5.34103847</v>
      </c>
      <c r="M763" s="28">
        <v>101.996004</v>
      </c>
      <c r="N763" s="28">
        <v>66.154575300000005</v>
      </c>
      <c r="O763" s="28">
        <v>976.98669700000005</v>
      </c>
      <c r="P763" s="28">
        <v>1023.0133</v>
      </c>
    </row>
    <row r="764" spans="1:16" x14ac:dyDescent="0.25">
      <c r="A764" s="40">
        <v>3</v>
      </c>
      <c r="B764" s="40">
        <v>6</v>
      </c>
      <c r="C764" s="28">
        <v>12.565493699999999</v>
      </c>
      <c r="D764" s="28">
        <v>6.0772709999999996</v>
      </c>
      <c r="E764" s="28">
        <v>29.9307421</v>
      </c>
      <c r="F764" s="28">
        <v>20.5583822</v>
      </c>
      <c r="G764" s="28">
        <v>17.270065800000001</v>
      </c>
      <c r="H764" s="28">
        <v>60.468388099999999</v>
      </c>
      <c r="I764" s="28">
        <v>35.418298399999998</v>
      </c>
      <c r="J764" s="28">
        <v>951.08295499999997</v>
      </c>
      <c r="K764" s="28">
        <v>920.25757299999998</v>
      </c>
      <c r="L764" s="28">
        <v>5.4633181999999998</v>
      </c>
      <c r="M764" s="28">
        <v>102.23169900000001</v>
      </c>
      <c r="N764" s="28">
        <v>64.616711499999994</v>
      </c>
      <c r="O764" s="28">
        <v>999.354196</v>
      </c>
      <c r="P764" s="28">
        <v>1000.6458</v>
      </c>
    </row>
    <row r="765" spans="1:16" x14ac:dyDescent="0.25">
      <c r="A765" s="40">
        <v>3</v>
      </c>
      <c r="B765" s="40">
        <v>7</v>
      </c>
      <c r="C765" s="28">
        <v>12.599463800000001</v>
      </c>
      <c r="D765" s="28">
        <v>6.09137912</v>
      </c>
      <c r="E765" s="28">
        <v>29.757319899999999</v>
      </c>
      <c r="F765" s="28">
        <v>20.547828800000001</v>
      </c>
      <c r="G765" s="28">
        <v>17.511440100000002</v>
      </c>
      <c r="H765" s="28">
        <v>61.087841599999997</v>
      </c>
      <c r="I765" s="28">
        <v>36.812630800000001</v>
      </c>
      <c r="J765" s="28">
        <v>958.47108100000003</v>
      </c>
      <c r="K765" s="28">
        <v>926.19698600000004</v>
      </c>
      <c r="L765" s="28">
        <v>5.3510071000000003</v>
      </c>
      <c r="M765" s="28">
        <v>102.13022599999999</v>
      </c>
      <c r="N765" s="28">
        <v>65.205212799999998</v>
      </c>
      <c r="O765" s="28">
        <v>978.81016699999998</v>
      </c>
      <c r="P765" s="28">
        <v>1021.18983</v>
      </c>
    </row>
    <row r="766" spans="1:16" x14ac:dyDescent="0.25">
      <c r="A766" s="40">
        <v>3</v>
      </c>
      <c r="B766" s="40">
        <v>8</v>
      </c>
      <c r="C766" s="28">
        <v>12.497184300000001</v>
      </c>
      <c r="D766" s="28">
        <v>6.1002577200000001</v>
      </c>
      <c r="E766" s="28">
        <v>30.117768900000002</v>
      </c>
      <c r="F766" s="28">
        <v>20.723062500000001</v>
      </c>
      <c r="G766" s="28">
        <v>17.227282200000001</v>
      </c>
      <c r="H766" s="28">
        <v>61.181355000000003</v>
      </c>
      <c r="I766" s="28">
        <v>37.043164400000002</v>
      </c>
      <c r="J766" s="28">
        <v>952.67252499999995</v>
      </c>
      <c r="K766" s="28">
        <v>923.49499000000003</v>
      </c>
      <c r="L766" s="28">
        <v>5.2937719100000002</v>
      </c>
      <c r="M766" s="28">
        <v>101.18250399999999</v>
      </c>
      <c r="N766" s="28">
        <v>64.084362299999995</v>
      </c>
      <c r="O766" s="28">
        <v>968.34066399999995</v>
      </c>
      <c r="P766" s="28">
        <v>1031.6593399999999</v>
      </c>
    </row>
    <row r="767" spans="1:16" x14ac:dyDescent="0.25">
      <c r="A767" s="40">
        <v>3</v>
      </c>
      <c r="B767" s="40">
        <v>9</v>
      </c>
      <c r="C767" s="28">
        <v>12.359477699999999</v>
      </c>
      <c r="D767" s="28">
        <v>6.0989890300000003</v>
      </c>
      <c r="E767" s="28">
        <v>29.932840599999999</v>
      </c>
      <c r="F767" s="28">
        <v>20.8470561</v>
      </c>
      <c r="G767" s="28">
        <v>17.2022406</v>
      </c>
      <c r="H767" s="28">
        <v>61.603900500000002</v>
      </c>
      <c r="I767" s="28">
        <v>36.824188999999997</v>
      </c>
      <c r="J767" s="28">
        <v>959.50289099999998</v>
      </c>
      <c r="K767" s="28">
        <v>920.67051000000004</v>
      </c>
      <c r="L767" s="28">
        <v>5.2292693699999999</v>
      </c>
      <c r="M767" s="28">
        <v>100.46235799999999</v>
      </c>
      <c r="N767" s="28">
        <v>63.8707876</v>
      </c>
      <c r="O767" s="28">
        <v>956.54181200000005</v>
      </c>
      <c r="P767" s="28">
        <v>1043.4581900000001</v>
      </c>
    </row>
    <row r="768" spans="1:16" x14ac:dyDescent="0.25">
      <c r="A768" s="40">
        <v>3</v>
      </c>
      <c r="B768" s="40">
        <v>10</v>
      </c>
      <c r="C768" s="28">
        <v>12.330816499999999</v>
      </c>
      <c r="D768" s="28">
        <v>6.0270015600000004</v>
      </c>
      <c r="E768" s="28">
        <v>29.825334300000002</v>
      </c>
      <c r="F768" s="28">
        <v>21.072181700000002</v>
      </c>
      <c r="G768" s="28">
        <v>17.151990300000001</v>
      </c>
      <c r="H768" s="28">
        <v>60.492720599999998</v>
      </c>
      <c r="I768" s="28">
        <v>37.468793699999999</v>
      </c>
      <c r="J768" s="28">
        <v>953.11790299999996</v>
      </c>
      <c r="K768" s="28">
        <v>918.28298500000005</v>
      </c>
      <c r="L768" s="28">
        <v>5.4096771199999996</v>
      </c>
      <c r="M768" s="28">
        <v>99.989175799999998</v>
      </c>
      <c r="N768" s="28">
        <v>64.421892</v>
      </c>
      <c r="O768" s="28">
        <v>989.54213000000004</v>
      </c>
      <c r="P768" s="28">
        <v>1010.45787</v>
      </c>
    </row>
    <row r="769" spans="1:16" x14ac:dyDescent="0.25">
      <c r="A769" s="40">
        <v>3</v>
      </c>
      <c r="B769" s="40">
        <v>11</v>
      </c>
      <c r="C769" s="28">
        <v>12.404173699999999</v>
      </c>
      <c r="D769" s="28">
        <v>5.9558057700000004</v>
      </c>
      <c r="E769" s="28">
        <v>29.875808599999999</v>
      </c>
      <c r="F769" s="28">
        <v>21.155116199999998</v>
      </c>
      <c r="G769" s="28">
        <v>17.409154099999999</v>
      </c>
      <c r="H769" s="28">
        <v>60.023580799999998</v>
      </c>
      <c r="I769" s="28">
        <v>37.787404199999997</v>
      </c>
      <c r="J769" s="28">
        <v>958.828079</v>
      </c>
      <c r="K769" s="28">
        <v>922.75664700000004</v>
      </c>
      <c r="L769" s="28">
        <v>5.3885207299999998</v>
      </c>
      <c r="M769" s="28">
        <v>98.786981299999994</v>
      </c>
      <c r="N769" s="28">
        <v>64.809542500000006</v>
      </c>
      <c r="O769" s="28">
        <v>985.67218800000001</v>
      </c>
      <c r="P769" s="28">
        <v>1014.32781</v>
      </c>
    </row>
    <row r="770" spans="1:16" x14ac:dyDescent="0.25">
      <c r="A770" s="40">
        <v>3</v>
      </c>
      <c r="B770" s="40">
        <v>12</v>
      </c>
      <c r="C770" s="28">
        <v>12.4235518</v>
      </c>
      <c r="D770" s="28">
        <v>5.9771117900000004</v>
      </c>
      <c r="E770" s="28">
        <v>30.104294899999999</v>
      </c>
      <c r="F770" s="28">
        <v>21.1200777</v>
      </c>
      <c r="G770" s="28">
        <v>17.3514333</v>
      </c>
      <c r="H770" s="28">
        <v>59.608375899999999</v>
      </c>
      <c r="I770" s="28">
        <v>38.368689099999997</v>
      </c>
      <c r="J770" s="28">
        <v>952.75326199999995</v>
      </c>
      <c r="K770" s="28">
        <v>923.84877700000004</v>
      </c>
      <c r="L770" s="28">
        <v>5.4737638999999998</v>
      </c>
      <c r="M770" s="28">
        <v>99.879995100000002</v>
      </c>
      <c r="N770" s="28">
        <v>63.839083299999999</v>
      </c>
      <c r="O770" s="28">
        <v>1001.26493</v>
      </c>
      <c r="P770" s="28">
        <v>998.73506899999995</v>
      </c>
    </row>
    <row r="771" spans="1:16" x14ac:dyDescent="0.25">
      <c r="A771" s="40">
        <v>3</v>
      </c>
      <c r="B771" s="40">
        <v>13</v>
      </c>
      <c r="C771" s="28">
        <v>12.4244567</v>
      </c>
      <c r="D771" s="28">
        <v>6.0204770300000003</v>
      </c>
      <c r="E771" s="28">
        <v>30.0687797</v>
      </c>
      <c r="F771" s="28">
        <v>21.337792100000001</v>
      </c>
      <c r="G771" s="28">
        <v>17.314354600000001</v>
      </c>
      <c r="H771" s="28">
        <v>57.932280800000001</v>
      </c>
      <c r="I771" s="28">
        <v>38.821928</v>
      </c>
      <c r="J771" s="28">
        <v>958.16812600000003</v>
      </c>
      <c r="K771" s="28">
        <v>923.927774</v>
      </c>
      <c r="L771" s="28">
        <v>5.4309294100000001</v>
      </c>
      <c r="M771" s="28">
        <v>100.012401</v>
      </c>
      <c r="N771" s="28">
        <v>64.126011899999995</v>
      </c>
      <c r="O771" s="28">
        <v>993.42961500000001</v>
      </c>
      <c r="P771" s="28">
        <v>1006.57039</v>
      </c>
    </row>
    <row r="772" spans="1:16" x14ac:dyDescent="0.25">
      <c r="A772" s="40">
        <v>3</v>
      </c>
      <c r="B772" s="40">
        <v>14</v>
      </c>
      <c r="C772" s="28">
        <v>12.3475742</v>
      </c>
      <c r="D772" s="28">
        <v>5.94831091</v>
      </c>
      <c r="E772" s="28">
        <v>30.246360500000002</v>
      </c>
      <c r="F772" s="28">
        <v>21.346367099999998</v>
      </c>
      <c r="G772" s="28">
        <v>17.001791900000001</v>
      </c>
      <c r="H772" s="28">
        <v>58.796791200000001</v>
      </c>
      <c r="I772" s="28">
        <v>38.668466500000001</v>
      </c>
      <c r="J772" s="28">
        <v>952.84192399999995</v>
      </c>
      <c r="K772" s="28">
        <v>922.99287700000002</v>
      </c>
      <c r="L772" s="28">
        <v>5.4515417800000003</v>
      </c>
      <c r="M772" s="28">
        <v>100.779178</v>
      </c>
      <c r="N772" s="28">
        <v>63.190524500000002</v>
      </c>
      <c r="O772" s="28">
        <v>997.20004500000005</v>
      </c>
      <c r="P772" s="28">
        <v>1002.7999600000001</v>
      </c>
    </row>
    <row r="773" spans="1:16" x14ac:dyDescent="0.25">
      <c r="A773" s="40">
        <v>3</v>
      </c>
      <c r="B773" s="40">
        <v>15</v>
      </c>
      <c r="C773" s="28">
        <v>12.416474600000001</v>
      </c>
      <c r="D773" s="28">
        <v>5.9321235799999998</v>
      </c>
      <c r="E773" s="28">
        <v>30.324007999999999</v>
      </c>
      <c r="F773" s="28">
        <v>21.232086200000001</v>
      </c>
      <c r="G773" s="28">
        <v>16.903917700000001</v>
      </c>
      <c r="H773" s="28">
        <v>58.342852700000002</v>
      </c>
      <c r="I773" s="28">
        <v>39.284734999999998</v>
      </c>
      <c r="J773" s="28">
        <v>958.06536700000004</v>
      </c>
      <c r="K773" s="28">
        <v>924.99210900000003</v>
      </c>
      <c r="L773" s="28">
        <v>5.3427756100000003</v>
      </c>
      <c r="M773" s="28">
        <v>100.92928499999999</v>
      </c>
      <c r="N773" s="28">
        <v>62.454681899999997</v>
      </c>
      <c r="O773" s="28">
        <v>977.30445699999996</v>
      </c>
      <c r="P773" s="28">
        <v>1022.6955400000001</v>
      </c>
    </row>
    <row r="774" spans="1:16" x14ac:dyDescent="0.25">
      <c r="A774" s="40">
        <v>3</v>
      </c>
      <c r="B774" s="40">
        <v>16</v>
      </c>
      <c r="C774" s="28">
        <v>12.4764088</v>
      </c>
      <c r="D774" s="28">
        <v>5.9186882499999998</v>
      </c>
      <c r="E774" s="28">
        <v>30.505138599999999</v>
      </c>
      <c r="F774" s="28">
        <v>21.051694699999999</v>
      </c>
      <c r="G774" s="28">
        <v>17.0796618</v>
      </c>
      <c r="H774" s="28">
        <v>58.509414200000002</v>
      </c>
      <c r="I774" s="28">
        <v>39.255760799999997</v>
      </c>
      <c r="J774" s="28">
        <v>952.33924200000001</v>
      </c>
      <c r="K774" s="28">
        <v>925.01286700000003</v>
      </c>
      <c r="L774" s="28">
        <v>5.2791914999999996</v>
      </c>
      <c r="M774" s="28">
        <v>101.360343</v>
      </c>
      <c r="N774" s="28">
        <v>62.046873599999998</v>
      </c>
      <c r="O774" s="28">
        <v>965.67360399999995</v>
      </c>
      <c r="P774" s="28">
        <v>1034.3263999999999</v>
      </c>
    </row>
    <row r="775" spans="1:16" x14ac:dyDescent="0.25">
      <c r="A775" s="40">
        <v>3</v>
      </c>
      <c r="B775" s="40">
        <v>17</v>
      </c>
      <c r="C775" s="28">
        <v>12.543613499999999</v>
      </c>
      <c r="D775" s="28">
        <v>5.8792851199999996</v>
      </c>
      <c r="E775" s="28">
        <v>30.646793899999999</v>
      </c>
      <c r="F775" s="28">
        <v>20.933326600000001</v>
      </c>
      <c r="G775" s="28">
        <v>17.172021099999998</v>
      </c>
      <c r="H775" s="28">
        <v>58.453135199999998</v>
      </c>
      <c r="I775" s="28">
        <v>39.680772400000002</v>
      </c>
      <c r="J775" s="28">
        <v>957.37967700000002</v>
      </c>
      <c r="K775" s="28">
        <v>934.63365699999997</v>
      </c>
      <c r="L775" s="28">
        <v>5.1875242899999998</v>
      </c>
      <c r="M775" s="28">
        <v>101.84325200000001</v>
      </c>
      <c r="N775" s="28">
        <v>62.354556100000003</v>
      </c>
      <c r="O775" s="28">
        <v>948.90577199999996</v>
      </c>
      <c r="P775" s="28">
        <v>1051.0942299999999</v>
      </c>
    </row>
    <row r="776" spans="1:16" x14ac:dyDescent="0.25">
      <c r="A776" s="40">
        <v>3</v>
      </c>
      <c r="B776" s="40">
        <v>18</v>
      </c>
      <c r="C776" s="28">
        <v>12.6831839</v>
      </c>
      <c r="D776" s="28">
        <v>5.9225623900000004</v>
      </c>
      <c r="E776" s="28">
        <v>30.7212557</v>
      </c>
      <c r="F776" s="28">
        <v>20.967807000000001</v>
      </c>
      <c r="G776" s="28">
        <v>17.0959127</v>
      </c>
      <c r="H776" s="28">
        <v>58.8974872</v>
      </c>
      <c r="I776" s="28">
        <v>39.043127200000001</v>
      </c>
      <c r="J776" s="28">
        <v>951.79648099999997</v>
      </c>
      <c r="K776" s="28">
        <v>932.14678900000001</v>
      </c>
      <c r="L776" s="28">
        <v>5.1698858999999997</v>
      </c>
      <c r="M776" s="28">
        <v>101.63626600000001</v>
      </c>
      <c r="N776" s="28">
        <v>63.110145799999998</v>
      </c>
      <c r="O776" s="28">
        <v>945.67934400000001</v>
      </c>
      <c r="P776" s="28">
        <v>1054.3206600000001</v>
      </c>
    </row>
    <row r="777" spans="1:16" x14ac:dyDescent="0.25">
      <c r="A777" s="40">
        <v>3</v>
      </c>
      <c r="B777" s="40">
        <v>19</v>
      </c>
      <c r="C777" s="28">
        <v>12.750349699999999</v>
      </c>
      <c r="D777" s="28">
        <v>5.9107251600000001</v>
      </c>
      <c r="E777" s="28">
        <v>30.755637100000001</v>
      </c>
      <c r="F777" s="28">
        <v>21.004836600000001</v>
      </c>
      <c r="G777" s="28">
        <v>17.245993299999999</v>
      </c>
      <c r="H777" s="28">
        <v>60.208348200000003</v>
      </c>
      <c r="I777" s="28">
        <v>39.5160062</v>
      </c>
      <c r="J777" s="28">
        <v>957.89855699999998</v>
      </c>
      <c r="K777" s="28">
        <v>927.74312899999995</v>
      </c>
      <c r="L777" s="28">
        <v>5.1498786299999999</v>
      </c>
      <c r="M777" s="28">
        <v>101.714912</v>
      </c>
      <c r="N777" s="28">
        <v>63.061780800000001</v>
      </c>
      <c r="O777" s="28">
        <v>942.01959899999997</v>
      </c>
      <c r="P777" s="28">
        <v>1057.9803999999999</v>
      </c>
    </row>
    <row r="778" spans="1:16" x14ac:dyDescent="0.25">
      <c r="A778" s="40">
        <v>3</v>
      </c>
      <c r="B778" s="40">
        <v>20</v>
      </c>
      <c r="C778" s="28">
        <v>12.809748799999999</v>
      </c>
      <c r="D778" s="28">
        <v>5.9926054899999999</v>
      </c>
      <c r="E778" s="28">
        <v>30.3296995</v>
      </c>
      <c r="F778" s="28">
        <v>21.053739100000001</v>
      </c>
      <c r="G778" s="28">
        <v>17.1426193</v>
      </c>
      <c r="H778" s="28">
        <v>61.274942600000003</v>
      </c>
      <c r="I778" s="28">
        <v>39.276507600000002</v>
      </c>
      <c r="J778" s="28">
        <v>953.28171799999996</v>
      </c>
      <c r="K778" s="28">
        <v>935.42539099999999</v>
      </c>
      <c r="L778" s="28">
        <v>5.14183667</v>
      </c>
      <c r="M778" s="28">
        <v>101.58192699999999</v>
      </c>
      <c r="N778" s="28">
        <v>63.179135600000002</v>
      </c>
      <c r="O778" s="28">
        <v>940.54855699999996</v>
      </c>
      <c r="P778" s="28">
        <v>1059.45144</v>
      </c>
    </row>
    <row r="779" spans="1:16" x14ac:dyDescent="0.25">
      <c r="A779" s="40">
        <v>3</v>
      </c>
      <c r="B779" s="40">
        <v>21</v>
      </c>
      <c r="C779" s="28">
        <v>12.8606491</v>
      </c>
      <c r="D779" s="28">
        <v>5.9356698799999998</v>
      </c>
      <c r="E779" s="28">
        <v>30.529655900000002</v>
      </c>
      <c r="F779" s="28">
        <v>20.946107099999999</v>
      </c>
      <c r="G779" s="28">
        <v>17.051620199999999</v>
      </c>
      <c r="H779" s="28">
        <v>62.276363699999997</v>
      </c>
      <c r="I779" s="28">
        <v>39.861686200000001</v>
      </c>
      <c r="J779" s="28">
        <v>958.79763000000003</v>
      </c>
      <c r="K779" s="28">
        <v>939.27658299999996</v>
      </c>
      <c r="L779" s="28">
        <v>5.0540642699999996</v>
      </c>
      <c r="M779" s="28">
        <v>101.192667</v>
      </c>
      <c r="N779" s="28">
        <v>63.343552699999996</v>
      </c>
      <c r="O779" s="28">
        <v>924.49316499999998</v>
      </c>
      <c r="P779" s="28">
        <v>1075.50684</v>
      </c>
    </row>
    <row r="780" spans="1:16" x14ac:dyDescent="0.25">
      <c r="A780" s="40">
        <v>3</v>
      </c>
      <c r="B780" s="40">
        <v>22</v>
      </c>
      <c r="C780" s="28">
        <v>12.881842300000001</v>
      </c>
      <c r="D780" s="28">
        <v>5.9508883399999997</v>
      </c>
      <c r="E780" s="28">
        <v>30.3198151</v>
      </c>
      <c r="F780" s="28">
        <v>21.0663044</v>
      </c>
      <c r="G780" s="28">
        <v>17.317900699999999</v>
      </c>
      <c r="H780" s="28">
        <v>63.054203399999999</v>
      </c>
      <c r="I780" s="28">
        <v>39.991054599999998</v>
      </c>
      <c r="J780" s="28">
        <v>954.14649799999995</v>
      </c>
      <c r="K780" s="28">
        <v>933.73083799999995</v>
      </c>
      <c r="L780" s="28">
        <v>5.0724327300000001</v>
      </c>
      <c r="M780" s="28">
        <v>101.079641</v>
      </c>
      <c r="N780" s="28">
        <v>64.182569400000006</v>
      </c>
      <c r="O780" s="28">
        <v>927.85313699999995</v>
      </c>
      <c r="P780" s="28">
        <v>1072.1468600000001</v>
      </c>
    </row>
    <row r="781" spans="1:16" x14ac:dyDescent="0.25">
      <c r="A781" s="40">
        <v>3</v>
      </c>
      <c r="B781" s="40">
        <v>23</v>
      </c>
      <c r="C781" s="28">
        <v>12.9632655</v>
      </c>
      <c r="D781" s="28">
        <v>5.9345896500000004</v>
      </c>
      <c r="E781" s="28">
        <v>30.394781600000002</v>
      </c>
      <c r="F781" s="28">
        <v>21.036481200000001</v>
      </c>
      <c r="G781" s="28">
        <v>17.3558366</v>
      </c>
      <c r="H781" s="28">
        <v>62.600649199999999</v>
      </c>
      <c r="I781" s="28">
        <v>39.606182199999999</v>
      </c>
      <c r="J781" s="28">
        <v>958.69848100000002</v>
      </c>
      <c r="K781" s="28">
        <v>928.05699100000004</v>
      </c>
      <c r="L781" s="28">
        <v>4.9887758399999997</v>
      </c>
      <c r="M781" s="28">
        <v>102.12599299999999</v>
      </c>
      <c r="N781" s="28">
        <v>63.004542899999997</v>
      </c>
      <c r="O781" s="28">
        <v>912.55055800000002</v>
      </c>
      <c r="P781" s="28">
        <v>1087.4494400000001</v>
      </c>
    </row>
    <row r="782" spans="1:16" x14ac:dyDescent="0.25">
      <c r="A782" s="40">
        <v>3</v>
      </c>
      <c r="B782" s="40">
        <v>24</v>
      </c>
      <c r="C782" s="28">
        <v>12.832277899999999</v>
      </c>
      <c r="D782" s="28">
        <v>5.9468841399999999</v>
      </c>
      <c r="E782" s="28">
        <v>29.967737100000001</v>
      </c>
      <c r="F782" s="28">
        <v>20.804776400000002</v>
      </c>
      <c r="G782" s="28">
        <v>17.510030100000002</v>
      </c>
      <c r="H782" s="28">
        <v>62.820385100000003</v>
      </c>
      <c r="I782" s="28">
        <v>39.2081491</v>
      </c>
      <c r="J782" s="28">
        <v>953.82658400000003</v>
      </c>
      <c r="K782" s="28">
        <v>934.28785700000003</v>
      </c>
      <c r="L782" s="28">
        <v>4.9887540399999999</v>
      </c>
      <c r="M782" s="28">
        <v>101.899778</v>
      </c>
      <c r="N782" s="28">
        <v>62.679232800000001</v>
      </c>
      <c r="O782" s="28">
        <v>912.54656999999997</v>
      </c>
      <c r="P782" s="28">
        <v>1087.45343</v>
      </c>
    </row>
    <row r="783" spans="1:16" x14ac:dyDescent="0.25">
      <c r="A783" s="40">
        <v>3</v>
      </c>
      <c r="B783" s="40">
        <v>25</v>
      </c>
      <c r="C783" s="28">
        <v>12.748393699999999</v>
      </c>
      <c r="D783" s="28">
        <v>5.9410762000000004</v>
      </c>
      <c r="E783" s="28">
        <v>30.298313400000001</v>
      </c>
      <c r="F783" s="28">
        <v>20.806935500000002</v>
      </c>
      <c r="G783" s="28">
        <v>17.712078900000002</v>
      </c>
      <c r="H783" s="28">
        <v>63.055686100000003</v>
      </c>
      <c r="I783" s="28">
        <v>38.359822700000002</v>
      </c>
      <c r="J783" s="28">
        <v>958.90736400000003</v>
      </c>
      <c r="K783" s="28">
        <v>937.52538500000003</v>
      </c>
      <c r="L783" s="28">
        <v>4.9755539799999999</v>
      </c>
      <c r="M783" s="28">
        <v>101.852864</v>
      </c>
      <c r="N783" s="28">
        <v>62.745257299999999</v>
      </c>
      <c r="O783" s="28">
        <v>910.13200500000005</v>
      </c>
      <c r="P783" s="28">
        <v>1089.8679999999999</v>
      </c>
    </row>
    <row r="784" spans="1:16" x14ac:dyDescent="0.25">
      <c r="A784" s="40">
        <v>3</v>
      </c>
      <c r="B784" s="40">
        <v>26</v>
      </c>
      <c r="C784" s="28">
        <v>12.8371052</v>
      </c>
      <c r="D784" s="28">
        <v>5.9398494299999998</v>
      </c>
      <c r="E784" s="28">
        <v>30.2102127</v>
      </c>
      <c r="F784" s="28">
        <v>20.942344299999998</v>
      </c>
      <c r="G784" s="28">
        <v>17.6235471</v>
      </c>
      <c r="H784" s="28">
        <v>64.132538800000006</v>
      </c>
      <c r="I784" s="28">
        <v>39.2213864</v>
      </c>
      <c r="J784" s="28">
        <v>954.60503000000006</v>
      </c>
      <c r="K784" s="28">
        <v>932.91583400000002</v>
      </c>
      <c r="L784" s="28">
        <v>5.0044098400000001</v>
      </c>
      <c r="M784" s="28">
        <v>101.13855599999999</v>
      </c>
      <c r="N784" s="28">
        <v>63.382170899999998</v>
      </c>
      <c r="O784" s="28">
        <v>915.41034000000002</v>
      </c>
      <c r="P784" s="28">
        <v>1084.5896600000001</v>
      </c>
    </row>
    <row r="785" spans="1:16" x14ac:dyDescent="0.25">
      <c r="A785" s="40">
        <v>3</v>
      </c>
      <c r="B785" s="40">
        <v>27</v>
      </c>
      <c r="C785" s="28">
        <v>12.940501599999999</v>
      </c>
      <c r="D785" s="28">
        <v>5.9166861800000001</v>
      </c>
      <c r="E785" s="28">
        <v>30.252844700000001</v>
      </c>
      <c r="F785" s="28">
        <v>20.926304699999999</v>
      </c>
      <c r="G785" s="28">
        <v>17.610828699999999</v>
      </c>
      <c r="H785" s="28">
        <v>64.701112100000003</v>
      </c>
      <c r="I785" s="28">
        <v>39.1673033</v>
      </c>
      <c r="J785" s="28">
        <v>959.54865400000006</v>
      </c>
      <c r="K785" s="28">
        <v>929.35570199999995</v>
      </c>
      <c r="L785" s="28">
        <v>5.00649575</v>
      </c>
      <c r="M785" s="28">
        <v>100.512317</v>
      </c>
      <c r="N785" s="28">
        <v>63.5801126</v>
      </c>
      <c r="O785" s="28">
        <v>915.79189599999995</v>
      </c>
      <c r="P785" s="28">
        <v>1084.2081000000001</v>
      </c>
    </row>
    <row r="786" spans="1:16" x14ac:dyDescent="0.25">
      <c r="A786" s="40">
        <v>3</v>
      </c>
      <c r="B786" s="40">
        <v>28</v>
      </c>
      <c r="C786" s="28">
        <v>12.884467300000001</v>
      </c>
      <c r="D786" s="28">
        <v>5.9507125299999997</v>
      </c>
      <c r="E786" s="28">
        <v>30.195057899999998</v>
      </c>
      <c r="F786" s="28">
        <v>20.920767300000001</v>
      </c>
      <c r="G786" s="28">
        <v>17.573285599999998</v>
      </c>
      <c r="H786" s="28">
        <v>65.079398900000001</v>
      </c>
      <c r="I786" s="28">
        <v>39.108666900000003</v>
      </c>
      <c r="J786" s="28">
        <v>954.89258400000006</v>
      </c>
      <c r="K786" s="28">
        <v>923.09685999999999</v>
      </c>
      <c r="L786" s="28">
        <v>5.0800426200000004</v>
      </c>
      <c r="M786" s="28">
        <v>100.244412</v>
      </c>
      <c r="N786" s="28">
        <v>64.061449300000007</v>
      </c>
      <c r="O786" s="28">
        <v>929.24514499999998</v>
      </c>
      <c r="P786" s="28">
        <v>1070.75486</v>
      </c>
    </row>
    <row r="787" spans="1:16" x14ac:dyDescent="0.25">
      <c r="A787" s="40">
        <v>3</v>
      </c>
      <c r="B787" s="40">
        <v>29</v>
      </c>
      <c r="C787" s="28">
        <v>12.8107033</v>
      </c>
      <c r="D787" s="28">
        <v>5.9919539999999998</v>
      </c>
      <c r="E787" s="28">
        <v>30.460697799999998</v>
      </c>
      <c r="F787" s="28">
        <v>20.809521199999999</v>
      </c>
      <c r="G787" s="28">
        <v>17.6778625</v>
      </c>
      <c r="H787" s="28">
        <v>66.083558699999998</v>
      </c>
      <c r="I787" s="28">
        <v>39.168328600000002</v>
      </c>
      <c r="J787" s="28">
        <v>960.46917900000005</v>
      </c>
      <c r="K787" s="28">
        <v>923.69421299999999</v>
      </c>
      <c r="L787" s="28">
        <v>5.1781688499999996</v>
      </c>
      <c r="M787" s="28">
        <v>100.187907</v>
      </c>
      <c r="N787" s="28">
        <v>63.175936900000004</v>
      </c>
      <c r="O787" s="28">
        <v>947.19446700000003</v>
      </c>
      <c r="P787" s="28">
        <v>1052.8055300000001</v>
      </c>
    </row>
    <row r="788" spans="1:16" x14ac:dyDescent="0.25">
      <c r="A788" s="40">
        <v>3</v>
      </c>
      <c r="B788" s="40">
        <v>30</v>
      </c>
      <c r="C788" s="28">
        <v>12.908464800000001</v>
      </c>
      <c r="D788" s="28">
        <v>6.0294315000000003</v>
      </c>
      <c r="E788" s="28">
        <v>30.6090749</v>
      </c>
      <c r="F788" s="28">
        <v>20.6664368</v>
      </c>
      <c r="G788" s="28">
        <v>17.964343899999999</v>
      </c>
      <c r="H788" s="28">
        <v>66.447382300000001</v>
      </c>
      <c r="I788" s="28">
        <v>39.254839699999998</v>
      </c>
      <c r="J788" s="28">
        <v>955.50862500000005</v>
      </c>
      <c r="K788" s="28">
        <v>929.40861199999995</v>
      </c>
      <c r="L788" s="28">
        <v>5.13156386</v>
      </c>
      <c r="M788" s="28">
        <v>98.828432399999997</v>
      </c>
      <c r="N788" s="28">
        <v>64.355178100000003</v>
      </c>
      <c r="O788" s="28">
        <v>938.66944799999999</v>
      </c>
      <c r="P788" s="28">
        <v>1061.3305499999999</v>
      </c>
    </row>
    <row r="789" spans="1:16" x14ac:dyDescent="0.25">
      <c r="A789" s="40">
        <v>3</v>
      </c>
      <c r="B789" s="40">
        <v>31</v>
      </c>
      <c r="C789" s="28">
        <v>12.997003100000001</v>
      </c>
      <c r="D789" s="28">
        <v>6.0039104600000002</v>
      </c>
      <c r="E789" s="28">
        <v>30.302001799999999</v>
      </c>
      <c r="F789" s="28">
        <v>20.496154000000001</v>
      </c>
      <c r="G789" s="28">
        <v>18.038499300000002</v>
      </c>
      <c r="H789" s="28">
        <v>64.707046599999998</v>
      </c>
      <c r="I789" s="28">
        <v>39.464869399999998</v>
      </c>
      <c r="J789" s="28">
        <v>959.08100999999999</v>
      </c>
      <c r="K789" s="28">
        <v>925.63555299999996</v>
      </c>
      <c r="L789" s="28">
        <v>5.1134979500000002</v>
      </c>
      <c r="M789" s="28">
        <v>98.949230299999996</v>
      </c>
      <c r="N789" s="28">
        <v>63.416288999999999</v>
      </c>
      <c r="O789" s="28">
        <v>935.36481800000001</v>
      </c>
      <c r="P789" s="28">
        <v>1064.63518</v>
      </c>
    </row>
    <row r="790" spans="1:16" x14ac:dyDescent="0.25">
      <c r="A790" s="40">
        <v>3</v>
      </c>
      <c r="B790" s="40">
        <v>32</v>
      </c>
      <c r="C790" s="28">
        <v>12.9010008</v>
      </c>
      <c r="D790" s="28">
        <v>6.0114698899999999</v>
      </c>
      <c r="E790" s="28">
        <v>30.089803499999999</v>
      </c>
      <c r="F790" s="28">
        <v>20.922065100000001</v>
      </c>
      <c r="G790" s="28">
        <v>18.161692599999999</v>
      </c>
      <c r="H790" s="28">
        <v>64.677482699999999</v>
      </c>
      <c r="I790" s="28">
        <v>39.422929199999999</v>
      </c>
      <c r="J790" s="28">
        <v>954.85993199999996</v>
      </c>
      <c r="K790" s="28">
        <v>920.51793599999996</v>
      </c>
      <c r="L790" s="28">
        <v>5.0843330099999999</v>
      </c>
      <c r="M790" s="28">
        <v>98.633511100000007</v>
      </c>
      <c r="N790" s="28">
        <v>62.942036299999998</v>
      </c>
      <c r="O790" s="28">
        <v>930.029946</v>
      </c>
      <c r="P790" s="28">
        <v>1069.9700499999999</v>
      </c>
    </row>
    <row r="791" spans="1:16" x14ac:dyDescent="0.25">
      <c r="A791" s="40">
        <v>3</v>
      </c>
      <c r="B791" s="40">
        <v>33</v>
      </c>
      <c r="C791" s="28">
        <v>12.922967099999999</v>
      </c>
      <c r="D791" s="28">
        <v>6.0516147399999998</v>
      </c>
      <c r="E791" s="28">
        <v>29.935309</v>
      </c>
      <c r="F791" s="28">
        <v>20.9785693</v>
      </c>
      <c r="G791" s="28">
        <v>18.290174</v>
      </c>
      <c r="H791" s="28">
        <v>64.108770199999995</v>
      </c>
      <c r="I791" s="28">
        <v>40.112104600000002</v>
      </c>
      <c r="J791" s="28">
        <v>959.64568399999996</v>
      </c>
      <c r="K791" s="28">
        <v>918.78184999999996</v>
      </c>
      <c r="L791" s="28">
        <v>5.2816775800000002</v>
      </c>
      <c r="M791" s="28">
        <v>98.329257999999996</v>
      </c>
      <c r="N791" s="28">
        <v>63.346719</v>
      </c>
      <c r="O791" s="28">
        <v>966.12836100000004</v>
      </c>
      <c r="P791" s="28">
        <v>1033.8716400000001</v>
      </c>
    </row>
    <row r="792" spans="1:16" x14ac:dyDescent="0.25">
      <c r="A792" s="40">
        <v>3</v>
      </c>
      <c r="B792" s="40">
        <v>34</v>
      </c>
      <c r="C792" s="28">
        <v>12.921836799999999</v>
      </c>
      <c r="D792" s="28">
        <v>6.1160513400000003</v>
      </c>
      <c r="E792" s="28">
        <v>29.687773</v>
      </c>
      <c r="F792" s="28">
        <v>20.859685599999999</v>
      </c>
      <c r="G792" s="28">
        <v>18.4279054</v>
      </c>
      <c r="H792" s="28">
        <v>64.429856700000002</v>
      </c>
      <c r="I792" s="28">
        <v>40.8620248</v>
      </c>
      <c r="J792" s="28">
        <v>955.69800899999996</v>
      </c>
      <c r="K792" s="28">
        <v>917.53215299999999</v>
      </c>
      <c r="L792" s="28">
        <v>5.3109225000000002</v>
      </c>
      <c r="M792" s="28">
        <v>98.217064300000004</v>
      </c>
      <c r="N792" s="28">
        <v>62.781122400000001</v>
      </c>
      <c r="O792" s="28">
        <v>971.47786299999996</v>
      </c>
      <c r="P792" s="28">
        <v>1028.52214</v>
      </c>
    </row>
    <row r="793" spans="1:16" x14ac:dyDescent="0.25">
      <c r="A793" s="40">
        <v>3</v>
      </c>
      <c r="B793" s="40">
        <v>35</v>
      </c>
      <c r="C793" s="28">
        <v>12.932397399999999</v>
      </c>
      <c r="D793" s="28">
        <v>6.1026697399999996</v>
      </c>
      <c r="E793" s="28">
        <v>29.931501900000001</v>
      </c>
      <c r="F793" s="28">
        <v>20.932076500000001</v>
      </c>
      <c r="G793" s="28">
        <v>18.827336599999999</v>
      </c>
      <c r="H793" s="28">
        <v>64.303086500000006</v>
      </c>
      <c r="I793" s="28">
        <v>40.281413399999998</v>
      </c>
      <c r="J793" s="28">
        <v>960.19527900000003</v>
      </c>
      <c r="K793" s="28">
        <v>920.36399300000005</v>
      </c>
      <c r="L793" s="28">
        <v>5.2978312399999998</v>
      </c>
      <c r="M793" s="28">
        <v>98.356328399999995</v>
      </c>
      <c r="N793" s="28">
        <v>62.216716300000002</v>
      </c>
      <c r="O793" s="28">
        <v>969.08319900000004</v>
      </c>
      <c r="P793" s="28">
        <v>1030.9168</v>
      </c>
    </row>
    <row r="794" spans="1:16" x14ac:dyDescent="0.25">
      <c r="A794" s="40">
        <v>3</v>
      </c>
      <c r="B794" s="40">
        <v>36</v>
      </c>
      <c r="C794" s="28">
        <v>13.063731499999999</v>
      </c>
      <c r="D794" s="28">
        <v>6.1174754299999998</v>
      </c>
      <c r="E794" s="28">
        <v>29.6625747</v>
      </c>
      <c r="F794" s="28">
        <v>20.877715899999998</v>
      </c>
      <c r="G794" s="28">
        <v>18.923453800000001</v>
      </c>
      <c r="H794" s="28">
        <v>64.101176100000004</v>
      </c>
      <c r="I794" s="28">
        <v>40.929518100000003</v>
      </c>
      <c r="J794" s="28">
        <v>955.60197000000005</v>
      </c>
      <c r="K794" s="28">
        <v>912.24593500000003</v>
      </c>
      <c r="L794" s="28">
        <v>5.2438859999999998</v>
      </c>
      <c r="M794" s="28">
        <v>97.996974699999996</v>
      </c>
      <c r="N794" s="28">
        <v>62.856813000000002</v>
      </c>
      <c r="O794" s="28">
        <v>959.21549700000003</v>
      </c>
      <c r="P794" s="28">
        <v>1040.7845</v>
      </c>
    </row>
    <row r="795" spans="1:16" x14ac:dyDescent="0.25">
      <c r="A795" s="40">
        <v>3</v>
      </c>
      <c r="B795" s="40">
        <v>37</v>
      </c>
      <c r="C795" s="28">
        <v>12.930858300000001</v>
      </c>
      <c r="D795" s="28">
        <v>6.1232560400000002</v>
      </c>
      <c r="E795" s="28">
        <v>29.401482399999999</v>
      </c>
      <c r="F795" s="28">
        <v>20.847679100000001</v>
      </c>
      <c r="G795" s="28">
        <v>18.684374200000001</v>
      </c>
      <c r="H795" s="28">
        <v>65.636951400000001</v>
      </c>
      <c r="I795" s="28">
        <v>41.1262021</v>
      </c>
      <c r="J795" s="28">
        <v>961.44016599999998</v>
      </c>
      <c r="K795" s="28">
        <v>905.86776499999996</v>
      </c>
      <c r="L795" s="28">
        <v>5.2674181999999998</v>
      </c>
      <c r="M795" s="28">
        <v>99.051690600000001</v>
      </c>
      <c r="N795" s="28">
        <v>62.412061999999999</v>
      </c>
      <c r="O795" s="28">
        <v>963.52002400000003</v>
      </c>
      <c r="P795" s="28">
        <v>1036.4799800000001</v>
      </c>
    </row>
    <row r="796" spans="1:16" x14ac:dyDescent="0.25">
      <c r="A796" s="40">
        <v>3</v>
      </c>
      <c r="B796" s="40">
        <v>38</v>
      </c>
      <c r="C796" s="28">
        <v>12.9016266</v>
      </c>
      <c r="D796" s="28">
        <v>6.09805829</v>
      </c>
      <c r="E796" s="28">
        <v>29.19764</v>
      </c>
      <c r="F796" s="28">
        <v>20.7701937</v>
      </c>
      <c r="G796" s="28">
        <v>18.481823599999998</v>
      </c>
      <c r="H796" s="28">
        <v>66.436219399999999</v>
      </c>
      <c r="I796" s="28">
        <v>41.733156800000003</v>
      </c>
      <c r="J796" s="28">
        <v>957.56700499999999</v>
      </c>
      <c r="K796" s="28">
        <v>905.79367100000002</v>
      </c>
      <c r="L796" s="28">
        <v>5.1887059600000001</v>
      </c>
      <c r="M796" s="28">
        <v>99.504187599999995</v>
      </c>
      <c r="N796" s="28">
        <v>62.826174799999997</v>
      </c>
      <c r="O796" s="28">
        <v>949.12192300000004</v>
      </c>
      <c r="P796" s="28">
        <v>1050.87808</v>
      </c>
    </row>
    <row r="797" spans="1:16" x14ac:dyDescent="0.25">
      <c r="A797" s="40">
        <v>3</v>
      </c>
      <c r="B797" s="40">
        <v>39</v>
      </c>
      <c r="C797" s="28">
        <v>12.873631</v>
      </c>
      <c r="D797" s="28">
        <v>6.0086355200000003</v>
      </c>
      <c r="E797" s="28">
        <v>29.1083167</v>
      </c>
      <c r="F797" s="28">
        <v>21.0474815</v>
      </c>
      <c r="G797" s="28">
        <v>18.4497538</v>
      </c>
      <c r="H797" s="28">
        <v>66.135292699999994</v>
      </c>
      <c r="I797" s="28">
        <v>41.645821499999997</v>
      </c>
      <c r="J797" s="28">
        <v>961.99233800000002</v>
      </c>
      <c r="K797" s="28">
        <v>900.49757899999997</v>
      </c>
      <c r="L797" s="28">
        <v>5.2400876700000003</v>
      </c>
      <c r="M797" s="28">
        <v>98.847501899999997</v>
      </c>
      <c r="N797" s="28">
        <v>62.636265100000003</v>
      </c>
      <c r="O797" s="28">
        <v>958.52070200000003</v>
      </c>
      <c r="P797" s="28">
        <v>1041.4793</v>
      </c>
    </row>
    <row r="798" spans="1:16" x14ac:dyDescent="0.25">
      <c r="A798" s="40">
        <v>3</v>
      </c>
      <c r="B798" s="40">
        <v>40</v>
      </c>
      <c r="C798" s="28">
        <v>12.8567611</v>
      </c>
      <c r="D798" s="28">
        <v>6.0399350700000003</v>
      </c>
      <c r="E798" s="28">
        <v>29.928829</v>
      </c>
      <c r="F798" s="28">
        <v>21.0166304</v>
      </c>
      <c r="G798" s="28">
        <v>18.610424500000001</v>
      </c>
      <c r="H798" s="28">
        <v>66.097899900000002</v>
      </c>
      <c r="I798" s="28">
        <v>41.955714</v>
      </c>
      <c r="J798" s="28">
        <v>957.71087399999999</v>
      </c>
      <c r="K798" s="28">
        <v>897.86323400000003</v>
      </c>
      <c r="L798" s="28">
        <v>5.2136332799999998</v>
      </c>
      <c r="M798" s="28">
        <v>99.467087399999997</v>
      </c>
      <c r="N798" s="28">
        <v>62.629461800000001</v>
      </c>
      <c r="O798" s="28">
        <v>953.681647</v>
      </c>
      <c r="P798" s="28">
        <v>1046.31835</v>
      </c>
    </row>
    <row r="799" spans="1:16" x14ac:dyDescent="0.25">
      <c r="A799" s="40">
        <v>3</v>
      </c>
      <c r="B799" s="40">
        <v>41</v>
      </c>
      <c r="C799" s="28">
        <v>12.9128361</v>
      </c>
      <c r="D799" s="28">
        <v>6.0725489699999997</v>
      </c>
      <c r="E799" s="28">
        <v>29.9551275</v>
      </c>
      <c r="F799" s="28">
        <v>21.065073999999999</v>
      </c>
      <c r="G799" s="28">
        <v>18.408843699999998</v>
      </c>
      <c r="H799" s="28">
        <v>65.266212199999998</v>
      </c>
      <c r="I799" s="28">
        <v>41.375927900000001</v>
      </c>
      <c r="J799" s="28">
        <v>961.55053399999997</v>
      </c>
      <c r="K799" s="28">
        <v>902.43309299999999</v>
      </c>
      <c r="L799" s="28">
        <v>5.1267820100000003</v>
      </c>
      <c r="M799" s="28">
        <v>100.214499</v>
      </c>
      <c r="N799" s="28">
        <v>62.340420600000002</v>
      </c>
      <c r="O799" s="28">
        <v>937.79474800000003</v>
      </c>
      <c r="P799" s="28">
        <v>1062.20525</v>
      </c>
    </row>
    <row r="800" spans="1:16" x14ac:dyDescent="0.25">
      <c r="A800" s="40">
        <v>3</v>
      </c>
      <c r="B800" s="40">
        <v>42</v>
      </c>
      <c r="C800" s="28">
        <v>12.8798695</v>
      </c>
      <c r="D800" s="28">
        <v>6.0693359100000004</v>
      </c>
      <c r="E800" s="28">
        <v>29.974008300000001</v>
      </c>
      <c r="F800" s="28">
        <v>21.0484388</v>
      </c>
      <c r="G800" s="28">
        <v>18.427352899999999</v>
      </c>
      <c r="H800" s="28">
        <v>64.577432700000003</v>
      </c>
      <c r="I800" s="28">
        <v>41.937182200000002</v>
      </c>
      <c r="J800" s="28">
        <v>957.03360299999997</v>
      </c>
      <c r="K800" s="28">
        <v>905.27567999999997</v>
      </c>
      <c r="L800" s="28">
        <v>5.1077495400000004</v>
      </c>
      <c r="M800" s="28">
        <v>99.661894799999999</v>
      </c>
      <c r="N800" s="28">
        <v>62.671258700000003</v>
      </c>
      <c r="O800" s="28">
        <v>934.31331399999999</v>
      </c>
      <c r="P800" s="28">
        <v>1065.68669</v>
      </c>
    </row>
    <row r="801" spans="1:16" x14ac:dyDescent="0.25">
      <c r="A801" s="40">
        <v>3</v>
      </c>
      <c r="B801" s="40">
        <v>43</v>
      </c>
      <c r="C801" s="28">
        <v>12.8532341</v>
      </c>
      <c r="D801" s="28">
        <v>6.0255660200000003</v>
      </c>
      <c r="E801" s="28">
        <v>30.365272099999999</v>
      </c>
      <c r="F801" s="28">
        <v>20.773857</v>
      </c>
      <c r="G801" s="28">
        <v>18.429634199999999</v>
      </c>
      <c r="H801" s="28">
        <v>64.765763100000001</v>
      </c>
      <c r="I801" s="28">
        <v>40.935377899999999</v>
      </c>
      <c r="J801" s="28">
        <v>960.81948199999999</v>
      </c>
      <c r="K801" s="28">
        <v>904.26107400000001</v>
      </c>
      <c r="L801" s="28">
        <v>5.0995290100000004</v>
      </c>
      <c r="M801" s="28">
        <v>100.39876700000001</v>
      </c>
      <c r="N801" s="28">
        <v>63.858647599999998</v>
      </c>
      <c r="O801" s="28">
        <v>932.80960900000002</v>
      </c>
      <c r="P801" s="28">
        <v>1067.19039</v>
      </c>
    </row>
    <row r="802" spans="1:16" x14ac:dyDescent="0.25">
      <c r="A802" s="40">
        <v>3</v>
      </c>
      <c r="B802" s="40">
        <v>44</v>
      </c>
      <c r="C802" s="28">
        <v>12.9594272</v>
      </c>
      <c r="D802" s="28">
        <v>5.9762201700000004</v>
      </c>
      <c r="E802" s="28">
        <v>30.160924099999999</v>
      </c>
      <c r="F802" s="28">
        <v>20.9562256</v>
      </c>
      <c r="G802" s="28">
        <v>18.4249619</v>
      </c>
      <c r="H802" s="28">
        <v>64.469582700000004</v>
      </c>
      <c r="I802" s="28">
        <v>41.228390699999999</v>
      </c>
      <c r="J802" s="28">
        <v>956.31201699999997</v>
      </c>
      <c r="K802" s="28">
        <v>904.05108099999995</v>
      </c>
      <c r="L802" s="28">
        <v>5.1171850699999997</v>
      </c>
      <c r="M802" s="28">
        <v>101.33913200000001</v>
      </c>
      <c r="N802" s="28">
        <v>65.636543200000006</v>
      </c>
      <c r="O802" s="28">
        <v>936.03926899999999</v>
      </c>
      <c r="P802" s="28">
        <v>1063.96073</v>
      </c>
    </row>
    <row r="803" spans="1:16" x14ac:dyDescent="0.25">
      <c r="A803" s="40">
        <v>3</v>
      </c>
      <c r="B803" s="40">
        <v>45</v>
      </c>
      <c r="C803" s="28">
        <v>12.8212317</v>
      </c>
      <c r="D803" s="28">
        <v>5.9867590399999999</v>
      </c>
      <c r="E803" s="28">
        <v>30.214934899999999</v>
      </c>
      <c r="F803" s="28">
        <v>21.093599099999999</v>
      </c>
      <c r="G803" s="28">
        <v>18.390131799999999</v>
      </c>
      <c r="H803" s="28">
        <v>64.371176800000001</v>
      </c>
      <c r="I803" s="28">
        <v>41.319737400000001</v>
      </c>
      <c r="J803" s="28">
        <v>960.99448600000005</v>
      </c>
      <c r="K803" s="28">
        <v>905.49350600000002</v>
      </c>
      <c r="L803" s="28">
        <v>5.2232428400000002</v>
      </c>
      <c r="M803" s="28">
        <v>101.551681</v>
      </c>
      <c r="N803" s="28">
        <v>67.304472700000005</v>
      </c>
      <c r="O803" s="28">
        <v>955.43943400000001</v>
      </c>
      <c r="P803" s="28">
        <v>1044.5605700000001</v>
      </c>
    </row>
    <row r="804" spans="1:16" x14ac:dyDescent="0.25">
      <c r="A804" s="40">
        <v>3</v>
      </c>
      <c r="B804" s="40">
        <v>46</v>
      </c>
      <c r="C804" s="28">
        <v>12.727381400000001</v>
      </c>
      <c r="D804" s="28">
        <v>5.9595989899999999</v>
      </c>
      <c r="E804" s="28">
        <v>30.372765600000001</v>
      </c>
      <c r="F804" s="28">
        <v>21.041545599999999</v>
      </c>
      <c r="G804" s="28">
        <v>18.551044099999999</v>
      </c>
      <c r="H804" s="28">
        <v>65.0452595</v>
      </c>
      <c r="I804" s="28">
        <v>40.9446856</v>
      </c>
      <c r="J804" s="28">
        <v>957.17962599999998</v>
      </c>
      <c r="K804" s="28">
        <v>903.46424100000002</v>
      </c>
      <c r="L804" s="28">
        <v>5.1887747800000001</v>
      </c>
      <c r="M804" s="28">
        <v>102.94670000000001</v>
      </c>
      <c r="N804" s="28">
        <v>66.732486699999995</v>
      </c>
      <c r="O804" s="28">
        <v>949.13451099999997</v>
      </c>
      <c r="P804" s="28">
        <v>1050.8654899999999</v>
      </c>
    </row>
    <row r="805" spans="1:16" x14ac:dyDescent="0.25">
      <c r="A805" s="40">
        <v>3</v>
      </c>
      <c r="B805" s="40">
        <v>47</v>
      </c>
      <c r="C805" s="28">
        <v>12.8504562</v>
      </c>
      <c r="D805" s="28">
        <v>5.8516560999999996</v>
      </c>
      <c r="E805" s="28">
        <v>30.608281699999999</v>
      </c>
      <c r="F805" s="28">
        <v>21.331202699999999</v>
      </c>
      <c r="G805" s="28">
        <v>18.4278619</v>
      </c>
      <c r="H805" s="28">
        <v>66.752012199999996</v>
      </c>
      <c r="I805" s="28">
        <v>41.5072209</v>
      </c>
      <c r="J805" s="28">
        <v>962.08835999999997</v>
      </c>
      <c r="K805" s="28">
        <v>906.25139899999999</v>
      </c>
      <c r="L805" s="28">
        <v>5.0963656000000004</v>
      </c>
      <c r="M805" s="28">
        <v>102.64572099999999</v>
      </c>
      <c r="N805" s="28">
        <v>66.742611100000005</v>
      </c>
      <c r="O805" s="28">
        <v>932.23095599999999</v>
      </c>
      <c r="P805" s="28">
        <v>1067.7690399999999</v>
      </c>
    </row>
    <row r="806" spans="1:16" x14ac:dyDescent="0.25">
      <c r="A806" s="40">
        <v>3</v>
      </c>
      <c r="B806" s="40">
        <v>48</v>
      </c>
      <c r="C806" s="28">
        <v>13.016417000000001</v>
      </c>
      <c r="D806" s="28">
        <v>5.8442395200000004</v>
      </c>
      <c r="E806" s="28">
        <v>30.4888127</v>
      </c>
      <c r="F806" s="28">
        <v>21.349944099999998</v>
      </c>
      <c r="G806" s="28">
        <v>18.340527999999999</v>
      </c>
      <c r="H806" s="28">
        <v>66.043865800000006</v>
      </c>
      <c r="I806" s="28">
        <v>42.038206000000002</v>
      </c>
      <c r="J806" s="28">
        <v>957.31690600000002</v>
      </c>
      <c r="K806" s="28">
        <v>903.56294100000002</v>
      </c>
      <c r="L806" s="28">
        <v>5.1016106900000002</v>
      </c>
      <c r="M806" s="28">
        <v>102.904042</v>
      </c>
      <c r="N806" s="28">
        <v>67.085507100000001</v>
      </c>
      <c r="O806" s="28">
        <v>933.19039099999998</v>
      </c>
      <c r="P806" s="28">
        <v>1066.80961</v>
      </c>
    </row>
    <row r="807" spans="1:16" x14ac:dyDescent="0.25">
      <c r="A807" s="40">
        <v>3</v>
      </c>
      <c r="B807" s="40">
        <v>49</v>
      </c>
      <c r="C807" s="28">
        <v>13.105029500000001</v>
      </c>
      <c r="D807" s="28">
        <v>5.8628494299999998</v>
      </c>
      <c r="E807" s="28">
        <v>30.369066</v>
      </c>
      <c r="F807" s="28">
        <v>21.325355900000002</v>
      </c>
      <c r="G807" s="28">
        <v>18.438161699999998</v>
      </c>
      <c r="H807" s="28">
        <v>65.505912300000006</v>
      </c>
      <c r="I807" s="28">
        <v>42.3878895</v>
      </c>
      <c r="J807" s="28">
        <v>961.18040800000006</v>
      </c>
      <c r="K807" s="28">
        <v>898.43982000000005</v>
      </c>
      <c r="L807" s="28">
        <v>5.1096166199999997</v>
      </c>
      <c r="M807" s="28">
        <v>103.202325</v>
      </c>
      <c r="N807" s="28">
        <v>67.187017100000006</v>
      </c>
      <c r="O807" s="28">
        <v>934.65484300000003</v>
      </c>
      <c r="P807" s="28">
        <v>1065.3451600000001</v>
      </c>
    </row>
    <row r="808" spans="1:16" x14ac:dyDescent="0.25">
      <c r="A808" s="40">
        <v>3</v>
      </c>
      <c r="B808" s="40">
        <v>50</v>
      </c>
      <c r="C808" s="28">
        <v>13.1440462</v>
      </c>
      <c r="D808" s="28">
        <v>5.8144050800000002</v>
      </c>
      <c r="E808" s="28">
        <v>30.229356899999999</v>
      </c>
      <c r="F808" s="28">
        <v>21.276153000000001</v>
      </c>
      <c r="G808" s="28">
        <v>18.173378</v>
      </c>
      <c r="H808" s="28">
        <v>65.170346100000003</v>
      </c>
      <c r="I808" s="28">
        <v>43.268185600000002</v>
      </c>
      <c r="J808" s="28">
        <v>956.80096100000003</v>
      </c>
      <c r="K808" s="28">
        <v>893.56555500000002</v>
      </c>
      <c r="L808" s="28">
        <v>5.1178434499999996</v>
      </c>
      <c r="M808" s="28">
        <v>102.31968500000001</v>
      </c>
      <c r="N808" s="28">
        <v>66.420144300000004</v>
      </c>
      <c r="O808" s="28">
        <v>936.15969900000005</v>
      </c>
      <c r="P808" s="28">
        <v>1063.8403000000001</v>
      </c>
    </row>
    <row r="809" spans="1:16" x14ac:dyDescent="0.25">
      <c r="A809" s="40">
        <v>3</v>
      </c>
      <c r="B809" s="40">
        <v>51</v>
      </c>
      <c r="C809" s="28">
        <v>13.1206473</v>
      </c>
      <c r="D809" s="28">
        <v>5.85735925</v>
      </c>
      <c r="E809" s="28">
        <v>30.133928999999998</v>
      </c>
      <c r="F809" s="28">
        <v>21.421249700000001</v>
      </c>
      <c r="G809" s="28">
        <v>18.087134299999999</v>
      </c>
      <c r="H809" s="28">
        <v>64.833547699999997</v>
      </c>
      <c r="I809" s="28">
        <v>43.866981699999997</v>
      </c>
      <c r="J809" s="28">
        <v>961.25609399999996</v>
      </c>
      <c r="K809" s="28">
        <v>899.38560800000005</v>
      </c>
      <c r="L809" s="28">
        <v>5.1092614699999999</v>
      </c>
      <c r="M809" s="28">
        <v>103.145866</v>
      </c>
      <c r="N809" s="28">
        <v>66.533648299999996</v>
      </c>
      <c r="O809" s="28">
        <v>934.589878</v>
      </c>
      <c r="P809" s="28">
        <v>1065.41012</v>
      </c>
    </row>
    <row r="810" spans="1:16" x14ac:dyDescent="0.25">
      <c r="A810" s="40">
        <v>3</v>
      </c>
      <c r="B810" s="40">
        <v>52</v>
      </c>
      <c r="C810" s="28">
        <v>13.0735738</v>
      </c>
      <c r="D810" s="28">
        <v>5.8968466299999998</v>
      </c>
      <c r="E810" s="28">
        <v>30.317668099999999</v>
      </c>
      <c r="F810" s="28">
        <v>21.550126599999999</v>
      </c>
      <c r="G810" s="28">
        <v>18.070542499999998</v>
      </c>
      <c r="H810" s="28">
        <v>64.352627200000001</v>
      </c>
      <c r="I810" s="28">
        <v>44.084526400000001</v>
      </c>
      <c r="J810" s="28">
        <v>957.26341300000001</v>
      </c>
      <c r="K810" s="28">
        <v>899.846317</v>
      </c>
      <c r="L810" s="28">
        <v>5.0579972</v>
      </c>
      <c r="M810" s="28">
        <v>102.90057400000001</v>
      </c>
      <c r="N810" s="28">
        <v>66.262912600000007</v>
      </c>
      <c r="O810" s="28">
        <v>925.21258</v>
      </c>
      <c r="P810" s="28">
        <v>1074.7874200000001</v>
      </c>
    </row>
    <row r="811" spans="1:16" x14ac:dyDescent="0.25">
      <c r="A811" s="40">
        <v>3</v>
      </c>
      <c r="B811" s="40">
        <v>53</v>
      </c>
      <c r="C811" s="28">
        <v>13.158303399999999</v>
      </c>
      <c r="D811" s="28">
        <v>5.8545679399999999</v>
      </c>
      <c r="E811" s="28">
        <v>30.6373031</v>
      </c>
      <c r="F811" s="28">
        <v>21.621414099999999</v>
      </c>
      <c r="G811" s="28">
        <v>17.960898</v>
      </c>
      <c r="H811" s="28">
        <v>64.832844600000001</v>
      </c>
      <c r="I811" s="28">
        <v>44.120385599999999</v>
      </c>
      <c r="J811" s="28">
        <v>961.34232399999996</v>
      </c>
      <c r="K811" s="28">
        <v>895.53283499999998</v>
      </c>
      <c r="L811" s="28">
        <v>5.0901043699999997</v>
      </c>
      <c r="M811" s="28">
        <v>102.568102</v>
      </c>
      <c r="N811" s="28">
        <v>66.591041899999993</v>
      </c>
      <c r="O811" s="28">
        <v>931.08564799999999</v>
      </c>
      <c r="P811" s="28">
        <v>1068.91435</v>
      </c>
    </row>
    <row r="812" spans="1:16" x14ac:dyDescent="0.25">
      <c r="A812" s="40">
        <v>3</v>
      </c>
      <c r="B812" s="40">
        <v>54</v>
      </c>
      <c r="C812" s="28">
        <v>13.237176</v>
      </c>
      <c r="D812" s="28">
        <v>5.7996336700000004</v>
      </c>
      <c r="E812" s="28">
        <v>30.719991100000001</v>
      </c>
      <c r="F812" s="28">
        <v>22.107475000000001</v>
      </c>
      <c r="G812" s="28">
        <v>17.904404400000001</v>
      </c>
      <c r="H812" s="28">
        <v>65.521016900000006</v>
      </c>
      <c r="I812" s="28">
        <v>44.519132200000001</v>
      </c>
      <c r="J812" s="28">
        <v>957.87460599999997</v>
      </c>
      <c r="K812" s="28">
        <v>896.34982200000002</v>
      </c>
      <c r="L812" s="28">
        <v>5.0755116100000004</v>
      </c>
      <c r="M812" s="28">
        <v>102.988333</v>
      </c>
      <c r="N812" s="28">
        <v>64.709832199999994</v>
      </c>
      <c r="O812" s="28">
        <v>928.41632900000002</v>
      </c>
      <c r="P812" s="28">
        <v>1071.58367</v>
      </c>
    </row>
    <row r="813" spans="1:16" x14ac:dyDescent="0.25">
      <c r="A813" s="40">
        <v>3</v>
      </c>
      <c r="B813" s="40">
        <v>55</v>
      </c>
      <c r="C813" s="28">
        <v>13.2667365</v>
      </c>
      <c r="D813" s="28">
        <v>5.8216536899999998</v>
      </c>
      <c r="E813" s="28">
        <v>30.577231699999999</v>
      </c>
      <c r="F813" s="28">
        <v>22.183385699999999</v>
      </c>
      <c r="G813" s="28">
        <v>17.892863500000001</v>
      </c>
      <c r="H813" s="28">
        <v>65.597675899999999</v>
      </c>
      <c r="I813" s="28">
        <v>44.7388835</v>
      </c>
      <c r="J813" s="28">
        <v>962.10126000000002</v>
      </c>
      <c r="K813" s="28">
        <v>893.48844999999994</v>
      </c>
      <c r="L813" s="28">
        <v>5.0872207899999999</v>
      </c>
      <c r="M813" s="28">
        <v>102.695584</v>
      </c>
      <c r="N813" s="28">
        <v>63.776678400000002</v>
      </c>
      <c r="O813" s="28">
        <v>930.55817999999999</v>
      </c>
      <c r="P813" s="28">
        <v>1069.44182</v>
      </c>
    </row>
    <row r="814" spans="1:16" x14ac:dyDescent="0.25">
      <c r="A814" s="40">
        <v>3</v>
      </c>
      <c r="B814" s="40">
        <v>56</v>
      </c>
      <c r="C814" s="28">
        <v>13.339514700000001</v>
      </c>
      <c r="D814" s="28">
        <v>5.8097295400000002</v>
      </c>
      <c r="E814" s="28">
        <v>30.641301599999998</v>
      </c>
      <c r="F814" s="28">
        <v>22.347721</v>
      </c>
      <c r="G814" s="28">
        <v>18.212368600000001</v>
      </c>
      <c r="H814" s="28">
        <v>64.889507300000005</v>
      </c>
      <c r="I814" s="28">
        <v>46.188081699999998</v>
      </c>
      <c r="J814" s="28">
        <v>958.26943100000005</v>
      </c>
      <c r="K814" s="28">
        <v>896.88179300000002</v>
      </c>
      <c r="L814" s="28">
        <v>5.1018188899999997</v>
      </c>
      <c r="M814" s="28">
        <v>103.41106000000001</v>
      </c>
      <c r="N814" s="28">
        <v>63.645358899999998</v>
      </c>
      <c r="O814" s="28">
        <v>933.228476</v>
      </c>
      <c r="P814" s="28">
        <v>1066.77152</v>
      </c>
    </row>
    <row r="815" spans="1:16" x14ac:dyDescent="0.25">
      <c r="A815" s="40">
        <v>3</v>
      </c>
      <c r="B815" s="40">
        <v>57</v>
      </c>
      <c r="C815" s="28">
        <v>13.316019900000001</v>
      </c>
      <c r="D815" s="28">
        <v>5.8713696100000003</v>
      </c>
      <c r="E815" s="28">
        <v>30.779642299999999</v>
      </c>
      <c r="F815" s="28">
        <v>22.385779500000002</v>
      </c>
      <c r="G815" s="28">
        <v>18.175718799999999</v>
      </c>
      <c r="H815" s="28">
        <v>64.205201000000002</v>
      </c>
      <c r="I815" s="28">
        <v>47.241678</v>
      </c>
      <c r="J815" s="28">
        <v>962.46898599999997</v>
      </c>
      <c r="K815" s="28">
        <v>899.20073200000002</v>
      </c>
      <c r="L815" s="28">
        <v>5.1610741200000003</v>
      </c>
      <c r="M815" s="28">
        <v>103.921842</v>
      </c>
      <c r="N815" s="28">
        <v>64.1811328</v>
      </c>
      <c r="O815" s="28">
        <v>944.06748600000003</v>
      </c>
      <c r="P815" s="28">
        <v>1055.9325100000001</v>
      </c>
    </row>
    <row r="816" spans="1:16" x14ac:dyDescent="0.25">
      <c r="A816" s="40">
        <v>3</v>
      </c>
      <c r="B816" s="40">
        <v>58</v>
      </c>
      <c r="C816" s="28">
        <v>13.317543199999999</v>
      </c>
      <c r="D816" s="28">
        <v>5.8323092399999998</v>
      </c>
      <c r="E816" s="28">
        <v>30.559984499999999</v>
      </c>
      <c r="F816" s="28">
        <v>22.313443800000002</v>
      </c>
      <c r="G816" s="28">
        <v>18.376994400000001</v>
      </c>
      <c r="H816" s="28">
        <v>64.351733100000004</v>
      </c>
      <c r="I816" s="28">
        <v>47.408194600000002</v>
      </c>
      <c r="J816" s="28">
        <v>958.68710799999997</v>
      </c>
      <c r="K816" s="28">
        <v>898.00050999999996</v>
      </c>
      <c r="L816" s="28">
        <v>5.1510499300000001</v>
      </c>
      <c r="M816" s="28">
        <v>103.281144</v>
      </c>
      <c r="N816" s="28">
        <v>65.390090400000005</v>
      </c>
      <c r="O816" s="28">
        <v>942.23385299999995</v>
      </c>
      <c r="P816" s="28">
        <v>1057.7661499999999</v>
      </c>
    </row>
    <row r="817" spans="1:16" x14ac:dyDescent="0.25">
      <c r="A817" s="40">
        <v>3</v>
      </c>
      <c r="B817" s="40">
        <v>59</v>
      </c>
      <c r="C817" s="28">
        <v>13.5297652</v>
      </c>
      <c r="D817" s="28">
        <v>5.8296019399999999</v>
      </c>
      <c r="E817" s="28">
        <v>30.148361000000001</v>
      </c>
      <c r="F817" s="28">
        <v>21.917817899999999</v>
      </c>
      <c r="G817" s="28">
        <v>18.425912799999999</v>
      </c>
      <c r="H817" s="28">
        <v>64.574660600000001</v>
      </c>
      <c r="I817" s="28">
        <v>47.768173699999998</v>
      </c>
      <c r="J817" s="28">
        <v>962.09272999999996</v>
      </c>
      <c r="K817" s="28">
        <v>897.58576900000003</v>
      </c>
      <c r="L817" s="28">
        <v>5.1389750100000002</v>
      </c>
      <c r="M817" s="28">
        <v>103.33407099999999</v>
      </c>
      <c r="N817" s="28">
        <v>65.514374700000005</v>
      </c>
      <c r="O817" s="28">
        <v>940.02510099999995</v>
      </c>
      <c r="P817" s="28">
        <v>1059.9748999999999</v>
      </c>
    </row>
    <row r="818" spans="1:16" x14ac:dyDescent="0.25">
      <c r="A818" s="40">
        <v>3</v>
      </c>
      <c r="B818" s="40">
        <v>60</v>
      </c>
      <c r="C818" s="28">
        <v>13.563712900000001</v>
      </c>
      <c r="D818" s="28">
        <v>5.8145839800000001</v>
      </c>
      <c r="E818" s="28">
        <v>30.015802099999998</v>
      </c>
      <c r="F818" s="28">
        <v>22.011695899999999</v>
      </c>
      <c r="G818" s="28">
        <v>18.5152985</v>
      </c>
      <c r="H818" s="28">
        <v>65.307162599999998</v>
      </c>
      <c r="I818" s="28">
        <v>46.259567400000002</v>
      </c>
      <c r="J818" s="28">
        <v>958.36623199999997</v>
      </c>
      <c r="K818" s="28">
        <v>897.08588099999997</v>
      </c>
      <c r="L818" s="28">
        <v>5.16188264</v>
      </c>
      <c r="M818" s="28">
        <v>103.265593</v>
      </c>
      <c r="N818" s="28">
        <v>66.193238699999995</v>
      </c>
      <c r="O818" s="28">
        <v>944.21538099999998</v>
      </c>
      <c r="P818" s="28">
        <v>1055.7846199999999</v>
      </c>
    </row>
    <row r="819" spans="1:16" x14ac:dyDescent="0.25">
      <c r="A819" s="40">
        <v>3</v>
      </c>
      <c r="B819" s="40">
        <v>61</v>
      </c>
      <c r="C819" s="28">
        <v>13.548856499999999</v>
      </c>
      <c r="D819" s="28">
        <v>5.8787912799999997</v>
      </c>
      <c r="E819" s="28">
        <v>29.707491699999999</v>
      </c>
      <c r="F819" s="28">
        <v>22.003497299999999</v>
      </c>
      <c r="G819" s="28">
        <v>18.599571600000001</v>
      </c>
      <c r="H819" s="28">
        <v>64.548058299999994</v>
      </c>
      <c r="I819" s="28">
        <v>47.106496</v>
      </c>
      <c r="J819" s="28">
        <v>962.39786100000003</v>
      </c>
      <c r="K819" s="28">
        <v>893.55530599999997</v>
      </c>
      <c r="L819" s="28">
        <v>5.2743902199999999</v>
      </c>
      <c r="M819" s="28">
        <v>103.297239</v>
      </c>
      <c r="N819" s="28">
        <v>66.2924474</v>
      </c>
      <c r="O819" s="28">
        <v>964.79535099999998</v>
      </c>
      <c r="P819" s="28">
        <v>1035.2046499999999</v>
      </c>
    </row>
    <row r="820" spans="1:16" x14ac:dyDescent="0.25">
      <c r="A820" s="40">
        <v>3</v>
      </c>
      <c r="B820" s="40">
        <v>62</v>
      </c>
      <c r="C820" s="28">
        <v>13.507773</v>
      </c>
      <c r="D820" s="28">
        <v>5.8802681999999997</v>
      </c>
      <c r="E820" s="28">
        <v>29.812222800000001</v>
      </c>
      <c r="F820" s="28">
        <v>22.0413794</v>
      </c>
      <c r="G820" s="28">
        <v>18.805835500000001</v>
      </c>
      <c r="H820" s="28">
        <v>65.469435500000003</v>
      </c>
      <c r="I820" s="28">
        <v>46.305021400000001</v>
      </c>
      <c r="J820" s="28">
        <v>959.12770599999999</v>
      </c>
      <c r="K820" s="28">
        <v>895.06306600000005</v>
      </c>
      <c r="L820" s="28">
        <v>5.30067048</v>
      </c>
      <c r="M820" s="28">
        <v>103.580921</v>
      </c>
      <c r="N820" s="28">
        <v>67.360810299999997</v>
      </c>
      <c r="O820" s="28">
        <v>969.60255500000005</v>
      </c>
      <c r="P820" s="28">
        <v>1030.3974499999999</v>
      </c>
    </row>
    <row r="821" spans="1:16" x14ac:dyDescent="0.25">
      <c r="A821" s="40">
        <v>3</v>
      </c>
      <c r="B821" s="40">
        <v>63</v>
      </c>
      <c r="C821" s="28">
        <v>13.4010087</v>
      </c>
      <c r="D821" s="28">
        <v>5.9715474200000003</v>
      </c>
      <c r="E821" s="28">
        <v>30.0374233</v>
      </c>
      <c r="F821" s="28">
        <v>21.942830900000001</v>
      </c>
      <c r="G821" s="28">
        <v>18.8472908</v>
      </c>
      <c r="H821" s="28">
        <v>64.822583600000002</v>
      </c>
      <c r="I821" s="28">
        <v>46.118161600000001</v>
      </c>
      <c r="J821" s="28">
        <v>962.99022600000001</v>
      </c>
      <c r="K821" s="28">
        <v>896.82568500000002</v>
      </c>
      <c r="L821" s="28">
        <v>5.1945091400000001</v>
      </c>
      <c r="M821" s="28">
        <v>102.678185</v>
      </c>
      <c r="N821" s="28">
        <v>65.643909399999998</v>
      </c>
      <c r="O821" s="28">
        <v>950.18344400000001</v>
      </c>
      <c r="P821" s="28">
        <v>1049.81656</v>
      </c>
    </row>
    <row r="822" spans="1:16" x14ac:dyDescent="0.25">
      <c r="A822" s="40">
        <v>3</v>
      </c>
      <c r="B822" s="40">
        <v>64</v>
      </c>
      <c r="C822" s="28">
        <v>13.5028787</v>
      </c>
      <c r="D822" s="28">
        <v>6.0558877300000002</v>
      </c>
      <c r="E822" s="28">
        <v>29.5661469</v>
      </c>
      <c r="F822" s="28">
        <v>22.216436099999999</v>
      </c>
      <c r="G822" s="28">
        <v>18.939041499999998</v>
      </c>
      <c r="H822" s="28">
        <v>62.647834600000003</v>
      </c>
      <c r="I822" s="28">
        <v>46.226177300000003</v>
      </c>
      <c r="J822" s="28">
        <v>958.50137299999994</v>
      </c>
      <c r="K822" s="28">
        <v>898.98454700000002</v>
      </c>
      <c r="L822" s="28">
        <v>5.1229888800000003</v>
      </c>
      <c r="M822" s="28">
        <v>102.252342</v>
      </c>
      <c r="N822" s="28">
        <v>66.047666899999996</v>
      </c>
      <c r="O822" s="28">
        <v>937.10090600000001</v>
      </c>
      <c r="P822" s="28">
        <v>1062.8990899999999</v>
      </c>
    </row>
    <row r="823" spans="1:16" x14ac:dyDescent="0.25">
      <c r="A823" s="40">
        <v>3</v>
      </c>
      <c r="B823" s="40">
        <v>65</v>
      </c>
      <c r="C823" s="28">
        <v>13.6799546</v>
      </c>
      <c r="D823" s="28">
        <v>6.0621337100000003</v>
      </c>
      <c r="E823" s="28">
        <v>29.482251399999999</v>
      </c>
      <c r="F823" s="28">
        <v>22.2445564</v>
      </c>
      <c r="G823" s="28">
        <v>18.953780200000001</v>
      </c>
      <c r="H823" s="28">
        <v>62.311783800000001</v>
      </c>
      <c r="I823" s="28">
        <v>46.0732353</v>
      </c>
      <c r="J823" s="28">
        <v>961.61063899999999</v>
      </c>
      <c r="K823" s="28">
        <v>901.64136199999996</v>
      </c>
      <c r="L823" s="28">
        <v>5.1734599899999996</v>
      </c>
      <c r="M823" s="28">
        <v>103.096712</v>
      </c>
      <c r="N823" s="28">
        <v>64.382188799999994</v>
      </c>
      <c r="O823" s="28">
        <v>946.33311900000001</v>
      </c>
      <c r="P823" s="28">
        <v>1053.66688</v>
      </c>
    </row>
    <row r="824" spans="1:16" x14ac:dyDescent="0.25">
      <c r="A824" s="40">
        <v>3</v>
      </c>
      <c r="B824" s="40">
        <v>66</v>
      </c>
      <c r="C824" s="28">
        <v>13.5973656</v>
      </c>
      <c r="D824" s="28">
        <v>6.1076989199999998</v>
      </c>
      <c r="E824" s="28">
        <v>29.393819000000001</v>
      </c>
      <c r="F824" s="28">
        <v>21.9977427</v>
      </c>
      <c r="G824" s="28">
        <v>19.011600099999999</v>
      </c>
      <c r="H824" s="28">
        <v>61.760331600000001</v>
      </c>
      <c r="I824" s="28">
        <v>46.199210000000001</v>
      </c>
      <c r="J824" s="28">
        <v>957.79603299999997</v>
      </c>
      <c r="K824" s="28">
        <v>895.65662999999995</v>
      </c>
      <c r="L824" s="28">
        <v>5.16049209</v>
      </c>
      <c r="M824" s="28">
        <v>103.67178699999999</v>
      </c>
      <c r="N824" s="28">
        <v>64.019521499999996</v>
      </c>
      <c r="O824" s="28">
        <v>943.96102099999996</v>
      </c>
      <c r="P824" s="28">
        <v>1056.03898</v>
      </c>
    </row>
    <row r="825" spans="1:16" x14ac:dyDescent="0.25">
      <c r="A825" s="40">
        <v>3</v>
      </c>
      <c r="B825" s="40">
        <v>67</v>
      </c>
      <c r="C825" s="28">
        <v>13.6741709</v>
      </c>
      <c r="D825" s="28">
        <v>6.0267637199999999</v>
      </c>
      <c r="E825" s="28">
        <v>29.578306900000001</v>
      </c>
      <c r="F825" s="28">
        <v>22.160235100000001</v>
      </c>
      <c r="G825" s="28">
        <v>18.9760621</v>
      </c>
      <c r="H825" s="28">
        <v>61.541618399999997</v>
      </c>
      <c r="I825" s="28">
        <v>45.421692399999998</v>
      </c>
      <c r="J825" s="28">
        <v>960.74099000000001</v>
      </c>
      <c r="K825" s="28">
        <v>890.45302200000003</v>
      </c>
      <c r="L825" s="28">
        <v>5.2275457699999999</v>
      </c>
      <c r="M825" s="28">
        <v>104.272142</v>
      </c>
      <c r="N825" s="28">
        <v>63.988259599999999</v>
      </c>
      <c r="O825" s="28">
        <v>956.22653000000003</v>
      </c>
      <c r="P825" s="28">
        <v>1043.7734700000001</v>
      </c>
    </row>
    <row r="826" spans="1:16" x14ac:dyDescent="0.25">
      <c r="A826" s="40">
        <v>3</v>
      </c>
      <c r="B826" s="40">
        <v>68</v>
      </c>
      <c r="C826" s="28">
        <v>13.7330509</v>
      </c>
      <c r="D826" s="28">
        <v>6.04170988</v>
      </c>
      <c r="E826" s="28">
        <v>29.372579000000002</v>
      </c>
      <c r="F826" s="28">
        <v>21.977820699999999</v>
      </c>
      <c r="G826" s="28">
        <v>19.130901399999999</v>
      </c>
      <c r="H826" s="28">
        <v>60.866474599999997</v>
      </c>
      <c r="I826" s="28">
        <v>45.862732000000001</v>
      </c>
      <c r="J826" s="28">
        <v>956.68965100000003</v>
      </c>
      <c r="K826" s="28">
        <v>892.95436400000006</v>
      </c>
      <c r="L826" s="28">
        <v>5.2588664200000004</v>
      </c>
      <c r="M826" s="28">
        <v>104.700468</v>
      </c>
      <c r="N826" s="28">
        <v>64.021238600000004</v>
      </c>
      <c r="O826" s="28">
        <v>961.95572600000003</v>
      </c>
      <c r="P826" s="28">
        <v>1038.0442700000001</v>
      </c>
    </row>
    <row r="827" spans="1:16" x14ac:dyDescent="0.25">
      <c r="A827" s="40">
        <v>3</v>
      </c>
      <c r="B827" s="40">
        <v>69</v>
      </c>
      <c r="C827" s="28">
        <v>13.7773606</v>
      </c>
      <c r="D827" s="28">
        <v>5.9697646999999998</v>
      </c>
      <c r="E827" s="28">
        <v>29.303100199999999</v>
      </c>
      <c r="F827" s="28">
        <v>21.578901399999999</v>
      </c>
      <c r="G827" s="28">
        <v>19.0549441</v>
      </c>
      <c r="H827" s="28">
        <v>61.353262600000001</v>
      </c>
      <c r="I827" s="28">
        <v>46.188418499999997</v>
      </c>
      <c r="J827" s="28">
        <v>959.91020300000002</v>
      </c>
      <c r="K827" s="28">
        <v>898.90971200000001</v>
      </c>
      <c r="L827" s="28">
        <v>5.2040358099999997</v>
      </c>
      <c r="M827" s="28">
        <v>105.16378</v>
      </c>
      <c r="N827" s="28">
        <v>63.868881199999997</v>
      </c>
      <c r="O827" s="28">
        <v>951.92606999999998</v>
      </c>
      <c r="P827" s="28">
        <v>1048.07393</v>
      </c>
    </row>
    <row r="828" spans="1:16" x14ac:dyDescent="0.25">
      <c r="A828" s="40">
        <v>3</v>
      </c>
      <c r="B828" s="40">
        <v>70</v>
      </c>
      <c r="C828" s="28">
        <v>13.760441699999999</v>
      </c>
      <c r="D828" s="28">
        <v>6.0630774399999998</v>
      </c>
      <c r="E828" s="28">
        <v>29.2134161</v>
      </c>
      <c r="F828" s="28">
        <v>21.7601263</v>
      </c>
      <c r="G828" s="28">
        <v>18.789957099999999</v>
      </c>
      <c r="H828" s="28">
        <v>61.703600000000002</v>
      </c>
      <c r="I828" s="28">
        <v>46.331489599999998</v>
      </c>
      <c r="J828" s="28">
        <v>957.00812900000005</v>
      </c>
      <c r="K828" s="28">
        <v>902.88626999999997</v>
      </c>
      <c r="L828" s="28">
        <v>5.0387713500000002</v>
      </c>
      <c r="M828" s="28">
        <v>105.654303</v>
      </c>
      <c r="N828" s="28">
        <v>64.202977700000005</v>
      </c>
      <c r="O828" s="28">
        <v>921.69577300000003</v>
      </c>
      <c r="P828" s="28">
        <v>1078.30423</v>
      </c>
    </row>
    <row r="829" spans="1:16" x14ac:dyDescent="0.25">
      <c r="A829" s="40">
        <v>3</v>
      </c>
      <c r="B829" s="40">
        <v>71</v>
      </c>
      <c r="C829" s="28">
        <v>13.666821300000001</v>
      </c>
      <c r="D829" s="28">
        <v>6.1165333799999999</v>
      </c>
      <c r="E829" s="28">
        <v>28.895002999999999</v>
      </c>
      <c r="F829" s="28">
        <v>21.741002000000002</v>
      </c>
      <c r="G829" s="28">
        <v>18.952588500000001</v>
      </c>
      <c r="H829" s="28">
        <v>62.443244200000002</v>
      </c>
      <c r="I829" s="28">
        <v>47.288194599999997</v>
      </c>
      <c r="J829" s="28">
        <v>961.57561899999996</v>
      </c>
      <c r="K829" s="28">
        <v>903.85145799999998</v>
      </c>
      <c r="L829" s="28">
        <v>5.0428791000000004</v>
      </c>
      <c r="M829" s="28">
        <v>105.467252</v>
      </c>
      <c r="N829" s="28">
        <v>64.866719599999996</v>
      </c>
      <c r="O829" s="28">
        <v>922.44716600000004</v>
      </c>
      <c r="P829" s="28">
        <v>1077.5528300000001</v>
      </c>
    </row>
    <row r="830" spans="1:16" x14ac:dyDescent="0.25">
      <c r="A830" s="40">
        <v>3</v>
      </c>
      <c r="B830" s="40">
        <v>72</v>
      </c>
      <c r="C830" s="28">
        <v>13.757965</v>
      </c>
      <c r="D830" s="28">
        <v>6.1079795499999996</v>
      </c>
      <c r="E830" s="28">
        <v>28.692038700000001</v>
      </c>
      <c r="F830" s="28">
        <v>21.642757899999999</v>
      </c>
      <c r="G830" s="28">
        <v>19.324693100000001</v>
      </c>
      <c r="H830" s="28">
        <v>62.950853199999997</v>
      </c>
      <c r="I830" s="28">
        <v>47.520976300000001</v>
      </c>
      <c r="J830" s="28">
        <v>958.12710600000003</v>
      </c>
      <c r="K830" s="28">
        <v>904.02327200000002</v>
      </c>
      <c r="L830" s="28">
        <v>5.0729173200000002</v>
      </c>
      <c r="M830" s="28">
        <v>104.834003</v>
      </c>
      <c r="N830" s="28">
        <v>64.942703499999993</v>
      </c>
      <c r="O830" s="28">
        <v>927.941779</v>
      </c>
      <c r="P830" s="28">
        <v>1072.0582199999999</v>
      </c>
    </row>
    <row r="831" spans="1:16" x14ac:dyDescent="0.25">
      <c r="A831" s="40">
        <v>3</v>
      </c>
      <c r="B831" s="40">
        <v>73</v>
      </c>
      <c r="C831" s="28">
        <v>13.631494200000001</v>
      </c>
      <c r="D831" s="28">
        <v>6.1119622900000001</v>
      </c>
      <c r="E831" s="28">
        <v>28.565185899999999</v>
      </c>
      <c r="F831" s="28">
        <v>21.5126077</v>
      </c>
      <c r="G831" s="28">
        <v>19.530802699999999</v>
      </c>
      <c r="H831" s="28">
        <v>62.638488899999999</v>
      </c>
      <c r="I831" s="28">
        <v>46.698860000000003</v>
      </c>
      <c r="J831" s="28">
        <v>961.441777</v>
      </c>
      <c r="K831" s="28">
        <v>900.40357200000005</v>
      </c>
      <c r="L831" s="28">
        <v>5.0621607099999997</v>
      </c>
      <c r="M831" s="28">
        <v>104.315344</v>
      </c>
      <c r="N831" s="28">
        <v>63.7456532</v>
      </c>
      <c r="O831" s="28">
        <v>925.97417299999995</v>
      </c>
      <c r="P831" s="28">
        <v>1074.02583</v>
      </c>
    </row>
    <row r="832" spans="1:16" x14ac:dyDescent="0.25">
      <c r="A832" s="40">
        <v>3</v>
      </c>
      <c r="B832" s="40">
        <v>74</v>
      </c>
      <c r="C832" s="28">
        <v>13.7068405</v>
      </c>
      <c r="D832" s="28">
        <v>6.1636409299999997</v>
      </c>
      <c r="E832" s="28">
        <v>28.7128981</v>
      </c>
      <c r="F832" s="28">
        <v>21.630969199999999</v>
      </c>
      <c r="G832" s="28">
        <v>19.455363500000001</v>
      </c>
      <c r="H832" s="28">
        <v>63.297396900000003</v>
      </c>
      <c r="I832" s="28">
        <v>46.830116599999997</v>
      </c>
      <c r="J832" s="28">
        <v>958.55820700000004</v>
      </c>
      <c r="K832" s="28">
        <v>902.70984899999996</v>
      </c>
      <c r="L832" s="28">
        <v>5.0132687999999996</v>
      </c>
      <c r="M832" s="28">
        <v>104.48179399999999</v>
      </c>
      <c r="N832" s="28">
        <v>63.740380500000001</v>
      </c>
      <c r="O832" s="28">
        <v>917.03082800000004</v>
      </c>
      <c r="P832" s="28">
        <v>1082.9691700000001</v>
      </c>
    </row>
    <row r="833" spans="1:16" x14ac:dyDescent="0.25">
      <c r="A833" s="40">
        <v>3</v>
      </c>
      <c r="B833" s="40">
        <v>75</v>
      </c>
      <c r="C833" s="28">
        <v>13.6551066</v>
      </c>
      <c r="D833" s="28">
        <v>6.1563648200000003</v>
      </c>
      <c r="E833" s="28">
        <v>28.5641833</v>
      </c>
      <c r="F833" s="28">
        <v>21.669682900000002</v>
      </c>
      <c r="G833" s="28">
        <v>19.595131200000001</v>
      </c>
      <c r="H833" s="28">
        <v>62.652582099999997</v>
      </c>
      <c r="I833" s="28">
        <v>47.7581712</v>
      </c>
      <c r="J833" s="28">
        <v>962.01930000000004</v>
      </c>
      <c r="K833" s="28">
        <v>903.90514700000006</v>
      </c>
      <c r="L833" s="28">
        <v>5.0623844800000004</v>
      </c>
      <c r="M833" s="28">
        <v>104.339547</v>
      </c>
      <c r="N833" s="28">
        <v>62.544575700000003</v>
      </c>
      <c r="O833" s="28">
        <v>926.01510499999995</v>
      </c>
      <c r="P833" s="28">
        <v>1073.9848999999999</v>
      </c>
    </row>
    <row r="834" spans="1:16" x14ac:dyDescent="0.25">
      <c r="A834" s="40">
        <v>3</v>
      </c>
      <c r="B834" s="40">
        <v>76</v>
      </c>
      <c r="C834" s="28">
        <v>13.5934037</v>
      </c>
      <c r="D834" s="28">
        <v>6.17311532</v>
      </c>
      <c r="E834" s="28">
        <v>28.863536199999999</v>
      </c>
      <c r="F834" s="28">
        <v>21.8926701</v>
      </c>
      <c r="G834" s="28">
        <v>19.692834300000001</v>
      </c>
      <c r="H834" s="28">
        <v>62.891250399999997</v>
      </c>
      <c r="I834" s="28">
        <v>47.786386800000002</v>
      </c>
      <c r="J834" s="28">
        <v>959.25893199999996</v>
      </c>
      <c r="K834" s="28">
        <v>909.81869300000005</v>
      </c>
      <c r="L834" s="28">
        <v>5.0210272299999996</v>
      </c>
      <c r="M834" s="28">
        <v>104.884153</v>
      </c>
      <c r="N834" s="28">
        <v>62.822574299999999</v>
      </c>
      <c r="O834" s="28">
        <v>918.45000600000003</v>
      </c>
      <c r="P834" s="28">
        <v>1081.54999</v>
      </c>
    </row>
    <row r="835" spans="1:16" x14ac:dyDescent="0.25">
      <c r="A835" s="40">
        <v>3</v>
      </c>
      <c r="B835" s="40">
        <v>77</v>
      </c>
      <c r="C835" s="28">
        <v>13.572026299999999</v>
      </c>
      <c r="D835" s="28">
        <v>6.1551927800000001</v>
      </c>
      <c r="E835" s="28">
        <v>28.453911900000001</v>
      </c>
      <c r="F835" s="28">
        <v>21.812902399999999</v>
      </c>
      <c r="G835" s="28">
        <v>19.976038200000001</v>
      </c>
      <c r="H835" s="28">
        <v>63.659705299999999</v>
      </c>
      <c r="I835" s="28">
        <v>48.457963300000003</v>
      </c>
      <c r="J835" s="28">
        <v>963.13156800000002</v>
      </c>
      <c r="K835" s="28">
        <v>915.60571600000003</v>
      </c>
      <c r="L835" s="28">
        <v>4.9473835399999997</v>
      </c>
      <c r="M835" s="28">
        <v>104.911873</v>
      </c>
      <c r="N835" s="28">
        <v>61.084675500000003</v>
      </c>
      <c r="O835" s="28">
        <v>904.97904800000003</v>
      </c>
      <c r="P835" s="28">
        <v>1095.0209500000001</v>
      </c>
    </row>
    <row r="836" spans="1:16" x14ac:dyDescent="0.25">
      <c r="A836" s="40">
        <v>3</v>
      </c>
      <c r="B836" s="40">
        <v>78</v>
      </c>
      <c r="C836" s="28">
        <v>13.6022418</v>
      </c>
      <c r="D836" s="28">
        <v>6.2180261799999998</v>
      </c>
      <c r="E836" s="28">
        <v>28.547460099999999</v>
      </c>
      <c r="F836" s="28">
        <v>22.039069699999999</v>
      </c>
      <c r="G836" s="28">
        <v>20.297483799999998</v>
      </c>
      <c r="H836" s="28">
        <v>63.813702300000003</v>
      </c>
      <c r="I836" s="28">
        <v>48.662565200000003</v>
      </c>
      <c r="J836" s="28">
        <v>960.37654499999996</v>
      </c>
      <c r="K836" s="28">
        <v>911.69490900000005</v>
      </c>
      <c r="L836" s="28">
        <v>4.8760943399999999</v>
      </c>
      <c r="M836" s="28">
        <v>104.958484</v>
      </c>
      <c r="N836" s="28">
        <v>60.920266900000001</v>
      </c>
      <c r="O836" s="28">
        <v>891.93877499999996</v>
      </c>
      <c r="P836" s="28">
        <v>1108.06123</v>
      </c>
    </row>
    <row r="837" spans="1:16" x14ac:dyDescent="0.25">
      <c r="A837" s="40">
        <v>3</v>
      </c>
      <c r="B837" s="40">
        <v>79</v>
      </c>
      <c r="C837" s="28">
        <v>13.644943700000001</v>
      </c>
      <c r="D837" s="28">
        <v>6.1467688300000001</v>
      </c>
      <c r="E837" s="28">
        <v>28.542603199999999</v>
      </c>
      <c r="F837" s="28">
        <v>21.995850300000001</v>
      </c>
      <c r="G837" s="28">
        <v>20.2846099</v>
      </c>
      <c r="H837" s="28">
        <v>63.935853399999999</v>
      </c>
      <c r="I837" s="28">
        <v>48.197282000000001</v>
      </c>
      <c r="J837" s="28">
        <v>963.20368699999995</v>
      </c>
      <c r="K837" s="28">
        <v>912.32672300000002</v>
      </c>
      <c r="L837" s="28">
        <v>4.9606578700000004</v>
      </c>
      <c r="M837" s="28">
        <v>104.448763</v>
      </c>
      <c r="N837" s="28">
        <v>62.0731763</v>
      </c>
      <c r="O837" s="28">
        <v>907.407197</v>
      </c>
      <c r="P837" s="28">
        <v>1092.5927999999999</v>
      </c>
    </row>
    <row r="838" spans="1:16" x14ac:dyDescent="0.25">
      <c r="A838" s="40">
        <v>3</v>
      </c>
      <c r="B838" s="40">
        <v>80</v>
      </c>
      <c r="C838" s="28">
        <v>13.561803400000001</v>
      </c>
      <c r="D838" s="28">
        <v>6.1674630300000004</v>
      </c>
      <c r="E838" s="28">
        <v>28.5463947</v>
      </c>
      <c r="F838" s="28">
        <v>21.977428</v>
      </c>
      <c r="G838" s="28">
        <v>20.123889299999998</v>
      </c>
      <c r="H838" s="28">
        <v>63.650205</v>
      </c>
      <c r="I838" s="28">
        <v>49.059805599999997</v>
      </c>
      <c r="J838" s="28">
        <v>960.26070200000004</v>
      </c>
      <c r="K838" s="28">
        <v>908.874776</v>
      </c>
      <c r="L838" s="28">
        <v>5.0044803099999999</v>
      </c>
      <c r="M838" s="28">
        <v>104.86525899999999</v>
      </c>
      <c r="N838" s="28">
        <v>61.811802</v>
      </c>
      <c r="O838" s="28">
        <v>915.42323099999999</v>
      </c>
      <c r="P838" s="28">
        <v>1084.5767699999999</v>
      </c>
    </row>
    <row r="839" spans="1:16" x14ac:dyDescent="0.25">
      <c r="A839" s="40">
        <v>3</v>
      </c>
      <c r="B839" s="40">
        <v>81</v>
      </c>
      <c r="C839" s="28">
        <v>13.5534926</v>
      </c>
      <c r="D839" s="28">
        <v>6.1742797200000004</v>
      </c>
      <c r="E839" s="28">
        <v>28.131246300000001</v>
      </c>
      <c r="F839" s="28">
        <v>22.2093208</v>
      </c>
      <c r="G839" s="28">
        <v>20.160194099999998</v>
      </c>
      <c r="H839" s="28">
        <v>63.580779900000003</v>
      </c>
      <c r="I839" s="28">
        <v>49.269280100000003</v>
      </c>
      <c r="J839" s="28">
        <v>963.72474399999999</v>
      </c>
      <c r="K839" s="28">
        <v>905.06353799999999</v>
      </c>
      <c r="L839" s="28">
        <v>4.9467223000000002</v>
      </c>
      <c r="M839" s="28">
        <v>104.737156</v>
      </c>
      <c r="N839" s="28">
        <v>62.580356999999999</v>
      </c>
      <c r="O839" s="28">
        <v>904.85809300000005</v>
      </c>
      <c r="P839" s="28">
        <v>1095.1419100000001</v>
      </c>
    </row>
    <row r="840" spans="1:16" x14ac:dyDescent="0.25">
      <c r="A840" s="40">
        <v>3</v>
      </c>
      <c r="B840" s="40">
        <v>82</v>
      </c>
      <c r="C840" s="28">
        <v>13.478080200000001</v>
      </c>
      <c r="D840" s="28">
        <v>6.1664119499999996</v>
      </c>
      <c r="E840" s="28">
        <v>28.257945899999999</v>
      </c>
      <c r="F840" s="28">
        <v>22.1446623</v>
      </c>
      <c r="G840" s="28">
        <v>19.9489561</v>
      </c>
      <c r="H840" s="28">
        <v>62.3409379</v>
      </c>
      <c r="I840" s="28">
        <v>50.051221200000001</v>
      </c>
      <c r="J840" s="28">
        <v>960.10899300000005</v>
      </c>
      <c r="K840" s="28">
        <v>906.02803500000005</v>
      </c>
      <c r="L840" s="28">
        <v>4.9278761400000004</v>
      </c>
      <c r="M840" s="28">
        <v>103.919595</v>
      </c>
      <c r="N840" s="28">
        <v>61.6231127</v>
      </c>
      <c r="O840" s="28">
        <v>901.41074000000003</v>
      </c>
      <c r="P840" s="28">
        <v>1098.58926</v>
      </c>
    </row>
    <row r="841" spans="1:16" x14ac:dyDescent="0.25">
      <c r="A841" s="40">
        <v>3</v>
      </c>
      <c r="B841" s="40">
        <v>83</v>
      </c>
      <c r="C841" s="28">
        <v>13.488822000000001</v>
      </c>
      <c r="D841" s="28">
        <v>6.1016816299999999</v>
      </c>
      <c r="E841" s="28">
        <v>28.1709213</v>
      </c>
      <c r="F841" s="28">
        <v>22.263547599999999</v>
      </c>
      <c r="G841" s="28">
        <v>20.169977400000001</v>
      </c>
      <c r="H841" s="28">
        <v>63.388969699999997</v>
      </c>
      <c r="I841" s="28">
        <v>49.969786300000003</v>
      </c>
      <c r="J841" s="28">
        <v>963.73927900000001</v>
      </c>
      <c r="K841" s="28">
        <v>908.14316399999996</v>
      </c>
      <c r="L841" s="28">
        <v>4.9217700300000002</v>
      </c>
      <c r="M841" s="28">
        <v>104.78371799999999</v>
      </c>
      <c r="N841" s="28">
        <v>61.819690799999996</v>
      </c>
      <c r="O841" s="28">
        <v>900.29380600000002</v>
      </c>
      <c r="P841" s="28">
        <v>1099.7061900000001</v>
      </c>
    </row>
    <row r="842" spans="1:16" x14ac:dyDescent="0.25">
      <c r="A842" s="40">
        <v>3</v>
      </c>
      <c r="B842" s="40">
        <v>84</v>
      </c>
      <c r="C842" s="28">
        <v>13.6037541</v>
      </c>
      <c r="D842" s="28">
        <v>6.1048209800000004</v>
      </c>
      <c r="E842" s="28">
        <v>28.541739100000001</v>
      </c>
      <c r="F842" s="28">
        <v>22.204062</v>
      </c>
      <c r="G842" s="28">
        <v>20.4121901</v>
      </c>
      <c r="H842" s="28">
        <v>62.889388500000003</v>
      </c>
      <c r="I842" s="28">
        <v>50.816809499999998</v>
      </c>
      <c r="J842" s="28">
        <v>960.23616000000004</v>
      </c>
      <c r="K842" s="28">
        <v>907.70723499999997</v>
      </c>
      <c r="L842" s="28">
        <v>4.9672203000000001</v>
      </c>
      <c r="M842" s="28">
        <v>105.72359</v>
      </c>
      <c r="N842" s="28">
        <v>61.619230199999997</v>
      </c>
      <c r="O842" s="28">
        <v>908.60760300000004</v>
      </c>
      <c r="P842" s="28">
        <v>1091.3924</v>
      </c>
    </row>
    <row r="843" spans="1:16" x14ac:dyDescent="0.25">
      <c r="A843" s="40">
        <v>3</v>
      </c>
      <c r="B843" s="40">
        <v>85</v>
      </c>
      <c r="C843" s="28">
        <v>13.6384965</v>
      </c>
      <c r="D843" s="28">
        <v>6.0866085600000002</v>
      </c>
      <c r="E843" s="28">
        <v>28.279180700000001</v>
      </c>
      <c r="F843" s="28">
        <v>22.3317312</v>
      </c>
      <c r="G843" s="28">
        <v>20.471799399999998</v>
      </c>
      <c r="H843" s="28">
        <v>62.165942800000003</v>
      </c>
      <c r="I843" s="28">
        <v>50.747554299999997</v>
      </c>
      <c r="J843" s="28">
        <v>962.88326700000005</v>
      </c>
      <c r="K843" s="28">
        <v>910.09319300000004</v>
      </c>
      <c r="L843" s="28">
        <v>4.8707854599999996</v>
      </c>
      <c r="M843" s="28">
        <v>105.972685</v>
      </c>
      <c r="N843" s="28">
        <v>60.074111600000002</v>
      </c>
      <c r="O843" s="28">
        <v>890.967669</v>
      </c>
      <c r="P843" s="28">
        <v>1109.03233</v>
      </c>
    </row>
    <row r="844" spans="1:16" x14ac:dyDescent="0.25">
      <c r="A844" s="40">
        <v>3</v>
      </c>
      <c r="B844" s="40">
        <v>86</v>
      </c>
      <c r="C844" s="28">
        <v>13.6220988</v>
      </c>
      <c r="D844" s="28">
        <v>6.0788012</v>
      </c>
      <c r="E844" s="28">
        <v>27.929456299999998</v>
      </c>
      <c r="F844" s="28">
        <v>22.489724899999999</v>
      </c>
      <c r="G844" s="28">
        <v>20.358317700000001</v>
      </c>
      <c r="H844" s="28">
        <v>62.747007699999997</v>
      </c>
      <c r="I844" s="28">
        <v>50.653808699999999</v>
      </c>
      <c r="J844" s="28">
        <v>960.31685100000004</v>
      </c>
      <c r="K844" s="28">
        <v>911.48399199999994</v>
      </c>
      <c r="L844" s="28">
        <v>4.8551416400000003</v>
      </c>
      <c r="M844" s="28">
        <v>106.53168599999999</v>
      </c>
      <c r="N844" s="28">
        <v>60.724656699999997</v>
      </c>
      <c r="O844" s="28">
        <v>888.10609199999999</v>
      </c>
      <c r="P844" s="28">
        <v>1111.89391</v>
      </c>
    </row>
    <row r="845" spans="1:16" x14ac:dyDescent="0.25">
      <c r="A845" s="40">
        <v>3</v>
      </c>
      <c r="B845" s="40">
        <v>87</v>
      </c>
      <c r="C845" s="28">
        <v>13.5712689</v>
      </c>
      <c r="D845" s="28">
        <v>6.0254282400000001</v>
      </c>
      <c r="E845" s="28">
        <v>27.970797000000001</v>
      </c>
      <c r="F845" s="28">
        <v>22.228818499999999</v>
      </c>
      <c r="G845" s="28">
        <v>20.11356</v>
      </c>
      <c r="H845" s="28">
        <v>62.671066500000002</v>
      </c>
      <c r="I845" s="28">
        <v>50.685321799999997</v>
      </c>
      <c r="J845" s="28">
        <v>962.96453099999997</v>
      </c>
      <c r="K845" s="28">
        <v>907.50868300000002</v>
      </c>
      <c r="L845" s="28">
        <v>4.8524614699999997</v>
      </c>
      <c r="M845" s="28">
        <v>106.81556999999999</v>
      </c>
      <c r="N845" s="28">
        <v>62.518544200000001</v>
      </c>
      <c r="O845" s="28">
        <v>887.61583299999995</v>
      </c>
      <c r="P845" s="28">
        <v>1112.38417</v>
      </c>
    </row>
    <row r="846" spans="1:16" x14ac:dyDescent="0.25">
      <c r="A846" s="40">
        <v>3</v>
      </c>
      <c r="B846" s="40">
        <v>88</v>
      </c>
      <c r="C846" s="28">
        <v>13.5572721</v>
      </c>
      <c r="D846" s="28">
        <v>5.9814793000000002</v>
      </c>
      <c r="E846" s="28">
        <v>27.890019599999999</v>
      </c>
      <c r="F846" s="28">
        <v>22.0433545</v>
      </c>
      <c r="G846" s="28">
        <v>19.609280200000001</v>
      </c>
      <c r="H846" s="28">
        <v>61.600358</v>
      </c>
      <c r="I846" s="28">
        <v>51.639030300000002</v>
      </c>
      <c r="J846" s="28">
        <v>959.23155799999995</v>
      </c>
      <c r="K846" s="28">
        <v>908.41324899999995</v>
      </c>
      <c r="L846" s="28">
        <v>4.8032026500000002</v>
      </c>
      <c r="M846" s="28">
        <v>106.901966</v>
      </c>
      <c r="N846" s="28">
        <v>60.519590700000002</v>
      </c>
      <c r="O846" s="28">
        <v>878.60537299999999</v>
      </c>
      <c r="P846" s="28">
        <v>1121.39463</v>
      </c>
    </row>
    <row r="847" spans="1:16" x14ac:dyDescent="0.25">
      <c r="A847" s="40">
        <v>3</v>
      </c>
      <c r="B847" s="40">
        <v>89</v>
      </c>
      <c r="C847" s="28">
        <v>13.535811199999999</v>
      </c>
      <c r="D847" s="28">
        <v>6.0110660899999999</v>
      </c>
      <c r="E847" s="28">
        <v>27.849542</v>
      </c>
      <c r="F847" s="28">
        <v>22.321022599999999</v>
      </c>
      <c r="G847" s="28">
        <v>19.643541599999999</v>
      </c>
      <c r="H847" s="28">
        <v>61.023993300000001</v>
      </c>
      <c r="I847" s="28">
        <v>50.356692000000002</v>
      </c>
      <c r="J847" s="28">
        <v>961.94997799999999</v>
      </c>
      <c r="K847" s="28">
        <v>909.23388999999997</v>
      </c>
      <c r="L847" s="28">
        <v>4.72409751</v>
      </c>
      <c r="M847" s="28">
        <v>107.326328</v>
      </c>
      <c r="N847" s="28">
        <v>61.061007400000001</v>
      </c>
      <c r="O847" s="28">
        <v>864.135402</v>
      </c>
      <c r="P847" s="28">
        <v>1135.8646000000001</v>
      </c>
    </row>
    <row r="848" spans="1:16" x14ac:dyDescent="0.25">
      <c r="A848" s="40">
        <v>3</v>
      </c>
      <c r="B848" s="40">
        <v>90</v>
      </c>
      <c r="C848" s="28">
        <v>13.4403545</v>
      </c>
      <c r="D848" s="28">
        <v>6.0122364299999997</v>
      </c>
      <c r="E848" s="28">
        <v>28.3704146</v>
      </c>
      <c r="F848" s="28">
        <v>22.642515299999999</v>
      </c>
      <c r="G848" s="28">
        <v>19.776751300000001</v>
      </c>
      <c r="H848" s="28">
        <v>61.463926700000002</v>
      </c>
      <c r="I848" s="28">
        <v>50.338931299999999</v>
      </c>
      <c r="J848" s="28">
        <v>959.66911100000004</v>
      </c>
      <c r="K848" s="28">
        <v>914.48947099999998</v>
      </c>
      <c r="L848" s="28">
        <v>4.8320007199999999</v>
      </c>
      <c r="M848" s="28">
        <v>107.839275</v>
      </c>
      <c r="N848" s="28">
        <v>60.292649099999998</v>
      </c>
      <c r="O848" s="28">
        <v>883.87313700000004</v>
      </c>
      <c r="P848" s="28">
        <v>1116.1268600000001</v>
      </c>
    </row>
    <row r="849" spans="1:16" x14ac:dyDescent="0.25">
      <c r="A849" s="40">
        <v>3</v>
      </c>
      <c r="B849" s="40">
        <v>91</v>
      </c>
      <c r="C849" s="28">
        <v>13.479464500000001</v>
      </c>
      <c r="D849" s="28">
        <v>5.9756932899999997</v>
      </c>
      <c r="E849" s="28">
        <v>28.566651799999999</v>
      </c>
      <c r="F849" s="28">
        <v>22.752755499999999</v>
      </c>
      <c r="G849" s="28">
        <v>19.9839357</v>
      </c>
      <c r="H849" s="28">
        <v>60.802586699999999</v>
      </c>
      <c r="I849" s="28">
        <v>50.7989259</v>
      </c>
      <c r="J849" s="28">
        <v>962.22840799999994</v>
      </c>
      <c r="K849" s="28">
        <v>907.78127199999994</v>
      </c>
      <c r="L849" s="28">
        <v>4.8703358400000001</v>
      </c>
      <c r="M849" s="28">
        <v>108.243818</v>
      </c>
      <c r="N849" s="28">
        <v>60.092147900000001</v>
      </c>
      <c r="O849" s="28">
        <v>890.88542600000005</v>
      </c>
      <c r="P849" s="28">
        <v>1109.11457</v>
      </c>
    </row>
    <row r="850" spans="1:16" x14ac:dyDescent="0.25">
      <c r="A850" s="40">
        <v>3</v>
      </c>
      <c r="B850" s="40">
        <v>92</v>
      </c>
      <c r="C850" s="28">
        <v>13.499184100000001</v>
      </c>
      <c r="D850" s="28">
        <v>5.9299241199999999</v>
      </c>
      <c r="E850" s="28">
        <v>28.638041900000001</v>
      </c>
      <c r="F850" s="28">
        <v>23.00507</v>
      </c>
      <c r="G850" s="28">
        <v>19.7846932</v>
      </c>
      <c r="H850" s="28">
        <v>61.668783699999999</v>
      </c>
      <c r="I850" s="28">
        <v>51.630567900000003</v>
      </c>
      <c r="J850" s="28">
        <v>959.95723999999996</v>
      </c>
      <c r="K850" s="28">
        <v>909.56528500000002</v>
      </c>
      <c r="L850" s="28">
        <v>4.9369115099999998</v>
      </c>
      <c r="M850" s="28">
        <v>107.44904099999999</v>
      </c>
      <c r="N850" s="28">
        <v>60.126404100000002</v>
      </c>
      <c r="O850" s="28">
        <v>903.06349599999999</v>
      </c>
      <c r="P850" s="28">
        <v>1096.9365</v>
      </c>
    </row>
    <row r="851" spans="1:16" x14ac:dyDescent="0.25">
      <c r="A851" s="40">
        <v>3</v>
      </c>
      <c r="B851" s="40">
        <v>93</v>
      </c>
      <c r="C851" s="28">
        <v>13.5986481</v>
      </c>
      <c r="D851" s="28">
        <v>5.8784348099999999</v>
      </c>
      <c r="E851" s="28">
        <v>29.214846300000001</v>
      </c>
      <c r="F851" s="28">
        <v>23.235723499999999</v>
      </c>
      <c r="G851" s="28">
        <v>19.8053481</v>
      </c>
      <c r="H851" s="28">
        <v>61.754339399999999</v>
      </c>
      <c r="I851" s="28">
        <v>51.850476499999999</v>
      </c>
      <c r="J851" s="28">
        <v>962.63969399999996</v>
      </c>
      <c r="K851" s="28">
        <v>909.06921699999998</v>
      </c>
      <c r="L851" s="28">
        <v>4.8595723299999998</v>
      </c>
      <c r="M851" s="28">
        <v>107.931641</v>
      </c>
      <c r="N851" s="28">
        <v>59.725243900000002</v>
      </c>
      <c r="O851" s="28">
        <v>888.91655700000001</v>
      </c>
      <c r="P851" s="28">
        <v>1111.0834400000001</v>
      </c>
    </row>
    <row r="852" spans="1:16" x14ac:dyDescent="0.25">
      <c r="A852" s="40">
        <v>3</v>
      </c>
      <c r="B852" s="40">
        <v>94</v>
      </c>
      <c r="C852" s="28">
        <v>13.6348594</v>
      </c>
      <c r="D852" s="28">
        <v>5.8876642400000003</v>
      </c>
      <c r="E852" s="28">
        <v>29.0164115</v>
      </c>
      <c r="F852" s="28">
        <v>23.298861500000001</v>
      </c>
      <c r="G852" s="28">
        <v>19.717029100000001</v>
      </c>
      <c r="H852" s="28">
        <v>62.2696027</v>
      </c>
      <c r="I852" s="28">
        <v>51.907208900000001</v>
      </c>
      <c r="J852" s="28">
        <v>960.00868800000001</v>
      </c>
      <c r="K852" s="28">
        <v>910.27589599999999</v>
      </c>
      <c r="L852" s="28">
        <v>4.9457459500000001</v>
      </c>
      <c r="M852" s="28">
        <v>107.986189</v>
      </c>
      <c r="N852" s="28">
        <v>61.026286499999998</v>
      </c>
      <c r="O852" s="28">
        <v>904.67949799999997</v>
      </c>
      <c r="P852" s="28">
        <v>1095.3205</v>
      </c>
    </row>
    <row r="853" spans="1:16" x14ac:dyDescent="0.25">
      <c r="A853" s="40">
        <v>3</v>
      </c>
      <c r="B853" s="40">
        <v>95</v>
      </c>
      <c r="C853" s="28">
        <v>13.6306257</v>
      </c>
      <c r="D853" s="28">
        <v>6.0164113400000003</v>
      </c>
      <c r="E853" s="28">
        <v>29.499313300000001</v>
      </c>
      <c r="F853" s="28">
        <v>23.411574000000002</v>
      </c>
      <c r="G853" s="28">
        <v>19.651112600000001</v>
      </c>
      <c r="H853" s="28">
        <v>62.688778599999999</v>
      </c>
      <c r="I853" s="28">
        <v>51.514184800000002</v>
      </c>
      <c r="J853" s="28">
        <v>963.37225899999999</v>
      </c>
      <c r="K853" s="28">
        <v>915.23397999999997</v>
      </c>
      <c r="L853" s="28">
        <v>5.0452076300000002</v>
      </c>
      <c r="M853" s="28">
        <v>107.9481</v>
      </c>
      <c r="N853" s="28">
        <v>61.111134700000001</v>
      </c>
      <c r="O853" s="28">
        <v>922.87310300000001</v>
      </c>
      <c r="P853" s="28">
        <v>1077.1269</v>
      </c>
    </row>
    <row r="854" spans="1:16" x14ac:dyDescent="0.25">
      <c r="A854" s="40">
        <v>3</v>
      </c>
      <c r="B854" s="40">
        <v>96</v>
      </c>
      <c r="C854" s="28">
        <v>13.566502399999999</v>
      </c>
      <c r="D854" s="28">
        <v>6.0487843100000003</v>
      </c>
      <c r="E854" s="28">
        <v>29.932862100000001</v>
      </c>
      <c r="F854" s="28">
        <v>23.290937</v>
      </c>
      <c r="G854" s="28">
        <v>19.473633299999999</v>
      </c>
      <c r="H854" s="28">
        <v>62.352159800000003</v>
      </c>
      <c r="I854" s="28">
        <v>52.0232277</v>
      </c>
      <c r="J854" s="28">
        <v>960.44064000000003</v>
      </c>
      <c r="K854" s="28">
        <v>910.75480200000004</v>
      </c>
      <c r="L854" s="28">
        <v>4.9298238799999998</v>
      </c>
      <c r="M854" s="28">
        <v>107.798385</v>
      </c>
      <c r="N854" s="28">
        <v>59.967315999999997</v>
      </c>
      <c r="O854" s="28">
        <v>901.767021</v>
      </c>
      <c r="P854" s="28">
        <v>1098.23298</v>
      </c>
    </row>
    <row r="855" spans="1:16" x14ac:dyDescent="0.25">
      <c r="A855" s="40">
        <v>3</v>
      </c>
      <c r="B855" s="40">
        <v>97</v>
      </c>
      <c r="C855" s="28">
        <v>13.6755735</v>
      </c>
      <c r="D855" s="28">
        <v>5.9992422699999999</v>
      </c>
      <c r="E855" s="28">
        <v>29.936771700000001</v>
      </c>
      <c r="F855" s="28">
        <v>23.517289699999999</v>
      </c>
      <c r="G855" s="28">
        <v>19.2329927</v>
      </c>
      <c r="H855" s="28">
        <v>61.824932599999997</v>
      </c>
      <c r="I855" s="28">
        <v>51.022127099999999</v>
      </c>
      <c r="J855" s="28">
        <v>962.47681</v>
      </c>
      <c r="K855" s="28">
        <v>915.88293299999998</v>
      </c>
      <c r="L855" s="28">
        <v>4.9124432100000002</v>
      </c>
      <c r="M855" s="28">
        <v>108.27400400000001</v>
      </c>
      <c r="N855" s="28">
        <v>58.722729600000001</v>
      </c>
      <c r="O855" s="28">
        <v>898.58773599999995</v>
      </c>
      <c r="P855" s="28">
        <v>1101.4122600000001</v>
      </c>
    </row>
    <row r="856" spans="1:16" x14ac:dyDescent="0.25">
      <c r="A856" s="40">
        <v>3</v>
      </c>
      <c r="B856" s="40">
        <v>98</v>
      </c>
      <c r="C856" s="28">
        <v>13.7532668</v>
      </c>
      <c r="D856" s="28">
        <v>6.0086841299999998</v>
      </c>
      <c r="E856" s="28">
        <v>29.767287799999998</v>
      </c>
      <c r="F856" s="28">
        <v>23.2535132</v>
      </c>
      <c r="G856" s="28">
        <v>19.501665299999999</v>
      </c>
      <c r="H856" s="28">
        <v>61.844648599999999</v>
      </c>
      <c r="I856" s="28">
        <v>51.132709400000003</v>
      </c>
      <c r="J856" s="28">
        <v>959.47853699999996</v>
      </c>
      <c r="K856" s="28">
        <v>915.81963699999994</v>
      </c>
      <c r="L856" s="28">
        <v>4.8284583100000003</v>
      </c>
      <c r="M856" s="28">
        <v>107.886579</v>
      </c>
      <c r="N856" s="28">
        <v>59.988326899999997</v>
      </c>
      <c r="O856" s="28">
        <v>883.22515799999996</v>
      </c>
      <c r="P856" s="28">
        <v>1116.77484</v>
      </c>
    </row>
    <row r="857" spans="1:16" x14ac:dyDescent="0.25">
      <c r="A857" s="40">
        <v>3</v>
      </c>
      <c r="B857" s="40">
        <v>99</v>
      </c>
      <c r="C857" s="28">
        <v>13.5674221</v>
      </c>
      <c r="D857" s="28">
        <v>6.05507273</v>
      </c>
      <c r="E857" s="28">
        <v>29.7179495</v>
      </c>
      <c r="F857" s="28">
        <v>23.1346153</v>
      </c>
      <c r="G857" s="28">
        <v>19.402108599999998</v>
      </c>
      <c r="H857" s="28">
        <v>61.890776299999999</v>
      </c>
      <c r="I857" s="28">
        <v>51.637957100000001</v>
      </c>
      <c r="J857" s="28">
        <v>962.77802199999996</v>
      </c>
      <c r="K857" s="28">
        <v>913.52841599999999</v>
      </c>
      <c r="L857" s="28">
        <v>4.8074809800000002</v>
      </c>
      <c r="M857" s="28">
        <v>108.253225</v>
      </c>
      <c r="N857" s="28">
        <v>59.416019499999997</v>
      </c>
      <c r="O857" s="28">
        <v>879.387968</v>
      </c>
      <c r="P857" s="28">
        <v>1120.61203</v>
      </c>
    </row>
    <row r="858" spans="1:16" x14ac:dyDescent="0.25">
      <c r="A858" s="40">
        <v>3</v>
      </c>
      <c r="B858" s="40">
        <v>100</v>
      </c>
      <c r="C858" s="28">
        <v>13.5844836</v>
      </c>
      <c r="D858" s="28">
        <v>6.0196817500000002</v>
      </c>
      <c r="E858" s="28">
        <v>29.796596699999998</v>
      </c>
      <c r="F858" s="28">
        <v>22.791624500000001</v>
      </c>
      <c r="G858" s="28">
        <v>19.197096800000001</v>
      </c>
      <c r="H858" s="28">
        <v>61.227749899999999</v>
      </c>
      <c r="I858" s="28">
        <v>50.572911400000002</v>
      </c>
      <c r="J858" s="28">
        <v>958.95193099999995</v>
      </c>
      <c r="K858" s="28">
        <v>912.87709900000004</v>
      </c>
      <c r="L858" s="28">
        <v>4.7121090199999998</v>
      </c>
      <c r="M858" s="28">
        <v>108.065523</v>
      </c>
      <c r="N858" s="28">
        <v>59.521052500000003</v>
      </c>
      <c r="O858" s="28">
        <v>861.94245899999999</v>
      </c>
      <c r="P858" s="28">
        <v>1138.05754</v>
      </c>
    </row>
    <row r="859" spans="1:16" x14ac:dyDescent="0.25">
      <c r="A859" s="40">
        <v>3</v>
      </c>
      <c r="B859" s="40">
        <v>101</v>
      </c>
      <c r="C859" s="28">
        <v>13.5937792</v>
      </c>
      <c r="D859" s="28">
        <v>6.0718441199999997</v>
      </c>
      <c r="E859" s="28">
        <v>30.0627578</v>
      </c>
      <c r="F859" s="28">
        <v>23.077163299999999</v>
      </c>
      <c r="G859" s="28">
        <v>19.176641199999999</v>
      </c>
      <c r="H859" s="28">
        <v>61.161667000000001</v>
      </c>
      <c r="I859" s="28">
        <v>50.806042400000003</v>
      </c>
      <c r="J859" s="28">
        <v>961.95454299999994</v>
      </c>
      <c r="K859" s="28">
        <v>919.86366099999998</v>
      </c>
      <c r="L859" s="28">
        <v>4.7572173400000004</v>
      </c>
      <c r="M859" s="28">
        <v>108.356061</v>
      </c>
      <c r="N859" s="28">
        <v>59.931818900000003</v>
      </c>
      <c r="O859" s="28">
        <v>870.19370600000002</v>
      </c>
      <c r="P859" s="28">
        <v>1129.80629</v>
      </c>
    </row>
    <row r="860" spans="1:16" x14ac:dyDescent="0.25">
      <c r="A860" s="40">
        <v>3</v>
      </c>
      <c r="B860" s="40">
        <v>102</v>
      </c>
      <c r="C860" s="28">
        <v>13.612914099999999</v>
      </c>
      <c r="D860" s="28">
        <v>6.0392682600000001</v>
      </c>
      <c r="E860" s="28">
        <v>29.7872585</v>
      </c>
      <c r="F860" s="28">
        <v>22.672780499999998</v>
      </c>
      <c r="G860" s="28">
        <v>19.105203400000001</v>
      </c>
      <c r="H860" s="28">
        <v>60.898064599999998</v>
      </c>
      <c r="I860" s="28">
        <v>50.451331799999998</v>
      </c>
      <c r="J860" s="28">
        <v>958.58086200000002</v>
      </c>
      <c r="K860" s="28">
        <v>916.46820700000001</v>
      </c>
      <c r="L860" s="28">
        <v>4.8030772199999996</v>
      </c>
      <c r="M860" s="28">
        <v>108.715712</v>
      </c>
      <c r="N860" s="28">
        <v>59.689723899999997</v>
      </c>
      <c r="O860" s="28">
        <v>878.58242900000005</v>
      </c>
      <c r="P860" s="28">
        <v>1121.4175700000001</v>
      </c>
    </row>
    <row r="861" spans="1:16" x14ac:dyDescent="0.25">
      <c r="A861" s="40">
        <v>3</v>
      </c>
      <c r="B861" s="40">
        <v>103</v>
      </c>
      <c r="C861" s="28">
        <v>13.6132312</v>
      </c>
      <c r="D861" s="28">
        <v>6.0296419099999996</v>
      </c>
      <c r="E861" s="28">
        <v>30.0053527</v>
      </c>
      <c r="F861" s="28">
        <v>22.738853200000001</v>
      </c>
      <c r="G861" s="28">
        <v>19.1705857</v>
      </c>
      <c r="H861" s="28">
        <v>61.823657900000001</v>
      </c>
      <c r="I861" s="28">
        <v>50.5874229</v>
      </c>
      <c r="J861" s="28">
        <v>961.74728100000004</v>
      </c>
      <c r="K861" s="28">
        <v>911.15725099999997</v>
      </c>
      <c r="L861" s="28">
        <v>4.7995027400000003</v>
      </c>
      <c r="M861" s="28">
        <v>108.417216</v>
      </c>
      <c r="N861" s="28">
        <v>58.615487999999999</v>
      </c>
      <c r="O861" s="28">
        <v>877.928583</v>
      </c>
      <c r="P861" s="28">
        <v>1122.07142</v>
      </c>
    </row>
    <row r="862" spans="1:16" x14ac:dyDescent="0.25">
      <c r="A862" s="40">
        <v>3</v>
      </c>
      <c r="B862" s="40">
        <v>104</v>
      </c>
      <c r="C862" s="28">
        <v>13.5630443</v>
      </c>
      <c r="D862" s="28">
        <v>6.0565084100000002</v>
      </c>
      <c r="E862" s="28">
        <v>29.902510299999999</v>
      </c>
      <c r="F862" s="28">
        <v>22.875032900000001</v>
      </c>
      <c r="G862" s="28">
        <v>19.281322200000002</v>
      </c>
      <c r="H862" s="28">
        <v>61.499057999999998</v>
      </c>
      <c r="I862" s="28">
        <v>51.052695999999997</v>
      </c>
      <c r="J862" s="28">
        <v>959.38554499999998</v>
      </c>
      <c r="K862" s="28">
        <v>908.36728100000005</v>
      </c>
      <c r="L862" s="28">
        <v>4.76348606</v>
      </c>
      <c r="M862" s="28">
        <v>108.29791899999999</v>
      </c>
      <c r="N862" s="28">
        <v>58.581229299999997</v>
      </c>
      <c r="O862" s="28">
        <v>871.34038499999997</v>
      </c>
      <c r="P862" s="28">
        <v>1128.6596099999999</v>
      </c>
    </row>
    <row r="863" spans="1:16" x14ac:dyDescent="0.25">
      <c r="A863" s="40">
        <v>3</v>
      </c>
      <c r="B863" s="40">
        <v>105</v>
      </c>
      <c r="C863" s="28">
        <v>13.5438378</v>
      </c>
      <c r="D863" s="28">
        <v>6.1100836200000002</v>
      </c>
      <c r="E863" s="28">
        <v>29.881939800000001</v>
      </c>
      <c r="F863" s="28">
        <v>22.991608800000002</v>
      </c>
      <c r="G863" s="28">
        <v>19.281162200000001</v>
      </c>
      <c r="H863" s="28">
        <v>63.195194800000003</v>
      </c>
      <c r="I863" s="28">
        <v>51.294843399999998</v>
      </c>
      <c r="J863" s="28">
        <v>963.252163</v>
      </c>
      <c r="K863" s="28">
        <v>907.72285199999999</v>
      </c>
      <c r="L863" s="28">
        <v>4.7875619699999996</v>
      </c>
      <c r="M863" s="28">
        <v>108.704554</v>
      </c>
      <c r="N863" s="28">
        <v>59.148292099999999</v>
      </c>
      <c r="O863" s="28">
        <v>875.74436800000001</v>
      </c>
      <c r="P863" s="28">
        <v>1124.2556300000001</v>
      </c>
    </row>
    <row r="864" spans="1:16" x14ac:dyDescent="0.25">
      <c r="A864" s="40">
        <v>3</v>
      </c>
      <c r="B864" s="40">
        <v>106</v>
      </c>
      <c r="C864" s="28">
        <v>13.653392500000001</v>
      </c>
      <c r="D864" s="28">
        <v>6.1075169799999998</v>
      </c>
      <c r="E864" s="28">
        <v>30.318128300000001</v>
      </c>
      <c r="F864" s="28">
        <v>22.862879499999998</v>
      </c>
      <c r="G864" s="28">
        <v>19.492684300000001</v>
      </c>
      <c r="H864" s="28">
        <v>64.0422966</v>
      </c>
      <c r="I864" s="28">
        <v>51.793333599999997</v>
      </c>
      <c r="J864" s="28">
        <v>960.85513800000001</v>
      </c>
      <c r="K864" s="28">
        <v>904.69888800000001</v>
      </c>
      <c r="L864" s="28">
        <v>4.7703544500000001</v>
      </c>
      <c r="M864" s="28">
        <v>110.51645000000001</v>
      </c>
      <c r="N864" s="28">
        <v>59.310119100000001</v>
      </c>
      <c r="O864" s="28">
        <v>872.59675700000003</v>
      </c>
      <c r="P864" s="28">
        <v>1127.4032400000001</v>
      </c>
    </row>
    <row r="865" spans="1:16" x14ac:dyDescent="0.25">
      <c r="A865" s="40">
        <v>3</v>
      </c>
      <c r="B865" s="40">
        <v>107</v>
      </c>
      <c r="C865" s="28">
        <v>13.7673545</v>
      </c>
      <c r="D865" s="28">
        <v>6.1870220900000001</v>
      </c>
      <c r="E865" s="28">
        <v>30.4037808</v>
      </c>
      <c r="F865" s="28">
        <v>23.135576799999999</v>
      </c>
      <c r="G865" s="28">
        <v>19.377694699999999</v>
      </c>
      <c r="H865" s="28">
        <v>63.587644500000003</v>
      </c>
      <c r="I865" s="28">
        <v>51.819306699999999</v>
      </c>
      <c r="J865" s="28">
        <v>963.30377399999998</v>
      </c>
      <c r="K865" s="28">
        <v>908.41140099999996</v>
      </c>
      <c r="L865" s="28">
        <v>4.7759282499999998</v>
      </c>
      <c r="M865" s="28">
        <v>110.32429399999999</v>
      </c>
      <c r="N865" s="28">
        <v>59.382445699999998</v>
      </c>
      <c r="O865" s="28">
        <v>873.61631899999998</v>
      </c>
      <c r="P865" s="28">
        <v>1126.3836799999999</v>
      </c>
    </row>
    <row r="866" spans="1:16" x14ac:dyDescent="0.25">
      <c r="A866" s="40">
        <v>3</v>
      </c>
      <c r="B866" s="40">
        <v>108</v>
      </c>
      <c r="C866" s="28">
        <v>13.6053108</v>
      </c>
      <c r="D866" s="28">
        <v>6.0989643500000001</v>
      </c>
      <c r="E866" s="28">
        <v>30.3050496</v>
      </c>
      <c r="F866" s="28">
        <v>23.198811800000001</v>
      </c>
      <c r="G866" s="28">
        <v>19.333220699999998</v>
      </c>
      <c r="H866" s="28">
        <v>63.685022199999999</v>
      </c>
      <c r="I866" s="28">
        <v>50.866091500000003</v>
      </c>
      <c r="J866" s="28">
        <v>960.74372600000004</v>
      </c>
      <c r="K866" s="28">
        <v>908.15825600000005</v>
      </c>
      <c r="L866" s="28">
        <v>4.7587910300000003</v>
      </c>
      <c r="M866" s="28">
        <v>109.71383899999999</v>
      </c>
      <c r="N866" s="28">
        <v>58.9721452</v>
      </c>
      <c r="O866" s="28">
        <v>870.48156600000004</v>
      </c>
      <c r="P866" s="28">
        <v>1129.5184300000001</v>
      </c>
    </row>
    <row r="867" spans="1:16" x14ac:dyDescent="0.25">
      <c r="A867" s="40">
        <v>3</v>
      </c>
      <c r="B867" s="40">
        <v>109</v>
      </c>
      <c r="C867" s="28">
        <v>13.7107309</v>
      </c>
      <c r="D867" s="28">
        <v>6.0291885599999997</v>
      </c>
      <c r="E867" s="28">
        <v>29.909608599999999</v>
      </c>
      <c r="F867" s="28">
        <v>23.176858200000002</v>
      </c>
      <c r="G867" s="28">
        <v>19.346616000000001</v>
      </c>
      <c r="H867" s="28">
        <v>64.007085799999999</v>
      </c>
      <c r="I867" s="28">
        <v>51.191971000000002</v>
      </c>
      <c r="J867" s="28">
        <v>963.07034899999996</v>
      </c>
      <c r="K867" s="28">
        <v>909.95467699999995</v>
      </c>
      <c r="L867" s="28">
        <v>4.7488623900000002</v>
      </c>
      <c r="M867" s="28">
        <v>109.078608</v>
      </c>
      <c r="N867" s="28">
        <v>60.131049599999997</v>
      </c>
      <c r="O867" s="28">
        <v>868.66541199999995</v>
      </c>
      <c r="P867" s="28">
        <v>1131.3345899999999</v>
      </c>
    </row>
    <row r="868" spans="1:16" x14ac:dyDescent="0.25">
      <c r="A868" s="40">
        <v>3</v>
      </c>
      <c r="B868" s="40">
        <v>110</v>
      </c>
      <c r="C868" s="28">
        <v>13.710947900000001</v>
      </c>
      <c r="D868" s="28">
        <v>6.0300225799999998</v>
      </c>
      <c r="E868" s="28">
        <v>30.268904899999999</v>
      </c>
      <c r="F868" s="28">
        <v>23.160479800000001</v>
      </c>
      <c r="G868" s="28">
        <v>19.3414009</v>
      </c>
      <c r="H868" s="28">
        <v>65.068949399999994</v>
      </c>
      <c r="I868" s="28">
        <v>51.376759800000002</v>
      </c>
      <c r="J868" s="28">
        <v>961.11490500000002</v>
      </c>
      <c r="K868" s="28">
        <v>907.67765099999997</v>
      </c>
      <c r="L868" s="28">
        <v>4.7110174499999999</v>
      </c>
      <c r="M868" s="28">
        <v>109.8368</v>
      </c>
      <c r="N868" s="28">
        <v>59.304237100000002</v>
      </c>
      <c r="O868" s="28">
        <v>861.74278900000002</v>
      </c>
      <c r="P868" s="28">
        <v>1138.25721</v>
      </c>
    </row>
    <row r="869" spans="1:16" x14ac:dyDescent="0.25">
      <c r="A869" s="40">
        <v>3</v>
      </c>
      <c r="B869" s="40">
        <v>111</v>
      </c>
      <c r="C869" s="28">
        <v>13.576674499999999</v>
      </c>
      <c r="D869" s="28">
        <v>6.0290200199999999</v>
      </c>
      <c r="E869" s="28">
        <v>30.415985200000001</v>
      </c>
      <c r="F869" s="28">
        <v>23.1881746</v>
      </c>
      <c r="G869" s="28">
        <v>19.117687199999999</v>
      </c>
      <c r="H869" s="28">
        <v>64.949390199999996</v>
      </c>
      <c r="I869" s="28">
        <v>51.235097199999998</v>
      </c>
      <c r="J869" s="28">
        <v>963.74429599999996</v>
      </c>
      <c r="K869" s="28">
        <v>903.07630300000005</v>
      </c>
      <c r="L869" s="28">
        <v>4.7094057400000002</v>
      </c>
      <c r="M869" s="28">
        <v>109.841995</v>
      </c>
      <c r="N869" s="28">
        <v>59.445066199999999</v>
      </c>
      <c r="O869" s="28">
        <v>861.44797300000005</v>
      </c>
      <c r="P869" s="28">
        <v>1138.5520300000001</v>
      </c>
    </row>
    <row r="870" spans="1:16" x14ac:dyDescent="0.25">
      <c r="A870" s="40">
        <v>3</v>
      </c>
      <c r="B870" s="40">
        <v>112</v>
      </c>
      <c r="C870" s="28">
        <v>13.378359700000001</v>
      </c>
      <c r="D870" s="28">
        <v>6.0734460400000003</v>
      </c>
      <c r="E870" s="28">
        <v>30.319878200000002</v>
      </c>
      <c r="F870" s="28">
        <v>23.103553300000002</v>
      </c>
      <c r="G870" s="28">
        <v>19.2394113</v>
      </c>
      <c r="H870" s="28">
        <v>64.862439100000003</v>
      </c>
      <c r="I870" s="28">
        <v>50.932872199999998</v>
      </c>
      <c r="J870" s="28">
        <v>961.72917199999995</v>
      </c>
      <c r="K870" s="28">
        <v>904.28189499999996</v>
      </c>
      <c r="L870" s="28">
        <v>4.7483118800000002</v>
      </c>
      <c r="M870" s="28">
        <v>110.046538</v>
      </c>
      <c r="N870" s="28">
        <v>60.704121000000001</v>
      </c>
      <c r="O870" s="28">
        <v>868.56471199999999</v>
      </c>
      <c r="P870" s="28">
        <v>1131.4352899999999</v>
      </c>
    </row>
    <row r="871" spans="1:16" x14ac:dyDescent="0.25">
      <c r="A871" s="40">
        <v>3</v>
      </c>
      <c r="B871" s="40">
        <v>113</v>
      </c>
      <c r="C871" s="28">
        <v>13.411822600000001</v>
      </c>
      <c r="D871" s="28">
        <v>6.0630615600000004</v>
      </c>
      <c r="E871" s="28">
        <v>30.258250400000001</v>
      </c>
      <c r="F871" s="28">
        <v>22.785712799999999</v>
      </c>
      <c r="G871" s="28">
        <v>19.192148499999998</v>
      </c>
      <c r="H871" s="28">
        <v>64.483433599999998</v>
      </c>
      <c r="I871" s="28">
        <v>50.3886526</v>
      </c>
      <c r="J871" s="28">
        <v>963.467626</v>
      </c>
      <c r="K871" s="28">
        <v>911.334744</v>
      </c>
      <c r="L871" s="28">
        <v>4.7650268999999996</v>
      </c>
      <c r="M871" s="28">
        <v>109.50733</v>
      </c>
      <c r="N871" s="28">
        <v>59.788699399999999</v>
      </c>
      <c r="O871" s="28">
        <v>871.62223700000004</v>
      </c>
      <c r="P871" s="28">
        <v>1128.3777600000001</v>
      </c>
    </row>
    <row r="872" spans="1:16" x14ac:dyDescent="0.25">
      <c r="A872" s="40">
        <v>3</v>
      </c>
      <c r="B872" s="40">
        <v>114</v>
      </c>
      <c r="C872" s="28">
        <v>13.329754700000001</v>
      </c>
      <c r="D872" s="28">
        <v>6.1718417199999998</v>
      </c>
      <c r="E872" s="28">
        <v>29.906273800000001</v>
      </c>
      <c r="F872" s="28">
        <v>23.149869599999999</v>
      </c>
      <c r="G872" s="28">
        <v>19.1400033</v>
      </c>
      <c r="H872" s="28">
        <v>65.481220699999994</v>
      </c>
      <c r="I872" s="28">
        <v>50.227923199999999</v>
      </c>
      <c r="J872" s="28">
        <v>962.40018099999998</v>
      </c>
      <c r="K872" s="28">
        <v>914.56608400000005</v>
      </c>
      <c r="L872" s="28">
        <v>4.7531672599999997</v>
      </c>
      <c r="M872" s="28">
        <v>109.04188000000001</v>
      </c>
      <c r="N872" s="28">
        <v>58.949363499999997</v>
      </c>
      <c r="O872" s="28">
        <v>869.45286299999998</v>
      </c>
      <c r="P872" s="28">
        <v>1130.5471399999999</v>
      </c>
    </row>
    <row r="873" spans="1:16" x14ac:dyDescent="0.25">
      <c r="A873" s="40">
        <v>3</v>
      </c>
      <c r="B873" s="40">
        <v>115</v>
      </c>
      <c r="C873" s="28">
        <v>13.212715899999999</v>
      </c>
      <c r="D873" s="28">
        <v>6.2156246800000003</v>
      </c>
      <c r="E873" s="28">
        <v>30.236851900000001</v>
      </c>
      <c r="F873" s="28">
        <v>22.9428801</v>
      </c>
      <c r="G873" s="28">
        <v>19.128747099999998</v>
      </c>
      <c r="H873" s="28">
        <v>65.493743199999997</v>
      </c>
      <c r="I873" s="28">
        <v>51.197265799999997</v>
      </c>
      <c r="J873" s="28">
        <v>965.25162799999998</v>
      </c>
      <c r="K873" s="28">
        <v>913.56150600000001</v>
      </c>
      <c r="L873" s="28">
        <v>4.7234721899999998</v>
      </c>
      <c r="M873" s="28">
        <v>109.098389</v>
      </c>
      <c r="N873" s="28">
        <v>60.298787099999998</v>
      </c>
      <c r="O873" s="28">
        <v>864.02101800000003</v>
      </c>
      <c r="P873" s="28">
        <v>1135.9789800000001</v>
      </c>
    </row>
    <row r="874" spans="1:16" x14ac:dyDescent="0.25">
      <c r="A874" s="40">
        <v>3</v>
      </c>
      <c r="B874" s="40">
        <v>116</v>
      </c>
      <c r="C874" s="28">
        <v>13.2008487</v>
      </c>
      <c r="D874" s="28">
        <v>6.2110456799999998</v>
      </c>
      <c r="E874" s="28">
        <v>30.4161857</v>
      </c>
      <c r="F874" s="28">
        <v>23.053880100000001</v>
      </c>
      <c r="G874" s="28">
        <v>19.001527800000002</v>
      </c>
      <c r="H874" s="28">
        <v>66.105099699999997</v>
      </c>
      <c r="I874" s="28">
        <v>50.982972099999998</v>
      </c>
      <c r="J874" s="28">
        <v>963.18965700000001</v>
      </c>
      <c r="K874" s="28">
        <v>916.87682600000005</v>
      </c>
      <c r="L874" s="28">
        <v>4.7076124200000002</v>
      </c>
      <c r="M874" s="28">
        <v>108.47586</v>
      </c>
      <c r="N874" s="28">
        <v>60.151879700000002</v>
      </c>
      <c r="O874" s="28">
        <v>861.11993800000005</v>
      </c>
      <c r="P874" s="28">
        <v>1138.88006</v>
      </c>
    </row>
    <row r="875" spans="1:16" x14ac:dyDescent="0.25">
      <c r="A875" s="40">
        <v>3</v>
      </c>
      <c r="B875" s="40">
        <v>117</v>
      </c>
      <c r="C875" s="28">
        <v>13.163448000000001</v>
      </c>
      <c r="D875" s="28">
        <v>6.1848670800000001</v>
      </c>
      <c r="E875" s="28">
        <v>30.218761300000001</v>
      </c>
      <c r="F875" s="28">
        <v>22.951778000000001</v>
      </c>
      <c r="G875" s="28">
        <v>18.727346499999999</v>
      </c>
      <c r="H875" s="28">
        <v>66.005699699999994</v>
      </c>
      <c r="I875" s="28">
        <v>49.196177599999999</v>
      </c>
      <c r="J875" s="28">
        <v>965.01625899999999</v>
      </c>
      <c r="K875" s="28">
        <v>915.202001</v>
      </c>
      <c r="L875" s="28">
        <v>4.72200109</v>
      </c>
      <c r="M875" s="28">
        <v>108.694669</v>
      </c>
      <c r="N875" s="28">
        <v>60.446499899999999</v>
      </c>
      <c r="O875" s="28">
        <v>863.75192400000003</v>
      </c>
      <c r="P875" s="28">
        <v>1136.2480800000001</v>
      </c>
    </row>
    <row r="876" spans="1:16" x14ac:dyDescent="0.25">
      <c r="A876" s="40">
        <v>3</v>
      </c>
      <c r="B876" s="40">
        <v>118</v>
      </c>
      <c r="C876" s="28">
        <v>13.224321099999999</v>
      </c>
      <c r="D876" s="28">
        <v>6.1962045300000002</v>
      </c>
      <c r="E876" s="28">
        <v>30.4843118</v>
      </c>
      <c r="F876" s="28">
        <v>23.212237200000001</v>
      </c>
      <c r="G876" s="28">
        <v>18.717930299999999</v>
      </c>
      <c r="H876" s="28">
        <v>65.732536499999995</v>
      </c>
      <c r="I876" s="28">
        <v>50.141174200000002</v>
      </c>
      <c r="J876" s="28">
        <v>963.01720699999998</v>
      </c>
      <c r="K876" s="28">
        <v>909.56403</v>
      </c>
      <c r="L876" s="28">
        <v>4.7817837499999998</v>
      </c>
      <c r="M876" s="28">
        <v>108.14654</v>
      </c>
      <c r="N876" s="28">
        <v>60.072215999999997</v>
      </c>
      <c r="O876" s="28">
        <v>874.68741199999999</v>
      </c>
      <c r="P876" s="28">
        <v>1125.31259</v>
      </c>
    </row>
    <row r="877" spans="1:16" x14ac:dyDescent="0.25">
      <c r="A877" s="40">
        <v>3</v>
      </c>
      <c r="B877" s="40">
        <v>119</v>
      </c>
      <c r="C877" s="28">
        <v>13.381628299999999</v>
      </c>
      <c r="D877" s="28">
        <v>6.2538836800000004</v>
      </c>
      <c r="E877" s="28">
        <v>30.6169276</v>
      </c>
      <c r="F877" s="28">
        <v>23.197384</v>
      </c>
      <c r="G877" s="28">
        <v>18.440246399999999</v>
      </c>
      <c r="H877" s="28">
        <v>66.977692599999997</v>
      </c>
      <c r="I877" s="28">
        <v>50.472023800000002</v>
      </c>
      <c r="J877" s="28">
        <v>965.86836000000005</v>
      </c>
      <c r="K877" s="28">
        <v>914.10574399999996</v>
      </c>
      <c r="L877" s="28">
        <v>4.8079870600000003</v>
      </c>
      <c r="M877" s="28">
        <v>107.661652</v>
      </c>
      <c r="N877" s="28">
        <v>59.656904599999997</v>
      </c>
      <c r="O877" s="28">
        <v>879.48054100000002</v>
      </c>
      <c r="P877" s="28">
        <v>1120.51946</v>
      </c>
    </row>
    <row r="878" spans="1:16" x14ac:dyDescent="0.25">
      <c r="A878" s="40">
        <v>3</v>
      </c>
      <c r="B878" s="40">
        <v>120</v>
      </c>
      <c r="C878" s="28">
        <v>13.284559399999999</v>
      </c>
      <c r="D878" s="28">
        <v>6.2786303800000001</v>
      </c>
      <c r="E878" s="28">
        <v>30.4742271</v>
      </c>
      <c r="F878" s="28">
        <v>23.148480800000002</v>
      </c>
      <c r="G878" s="28">
        <v>18.487210900000001</v>
      </c>
      <c r="H878" s="28">
        <v>67.593934899999994</v>
      </c>
      <c r="I878" s="28">
        <v>50.068245599999997</v>
      </c>
      <c r="J878" s="28">
        <v>964.31981099999996</v>
      </c>
      <c r="K878" s="28">
        <v>914.43260799999996</v>
      </c>
      <c r="L878" s="28">
        <v>4.8596404900000003</v>
      </c>
      <c r="M878" s="28">
        <v>107.329818</v>
      </c>
      <c r="N878" s="28">
        <v>60.224677200000002</v>
      </c>
      <c r="O878" s="28">
        <v>888.92902400000003</v>
      </c>
      <c r="P878" s="28">
        <v>1111.07098</v>
      </c>
    </row>
    <row r="879" spans="1:16" x14ac:dyDescent="0.25">
      <c r="A879" s="40">
        <v>3</v>
      </c>
      <c r="B879" s="40">
        <v>121</v>
      </c>
      <c r="C879" s="28">
        <v>13.244490499999999</v>
      </c>
      <c r="D879" s="28">
        <v>6.2198077700000001</v>
      </c>
      <c r="E879" s="28">
        <v>29.928982099999999</v>
      </c>
      <c r="F879" s="28">
        <v>23.4831216</v>
      </c>
      <c r="G879" s="28">
        <v>18.569710700000002</v>
      </c>
      <c r="H879" s="28">
        <v>67.897874400000006</v>
      </c>
      <c r="I879" s="28">
        <v>49.757592199999998</v>
      </c>
      <c r="J879" s="28">
        <v>967.08894799999996</v>
      </c>
      <c r="K879" s="28">
        <v>912.56727000000001</v>
      </c>
      <c r="L879" s="28">
        <v>4.7650182499999998</v>
      </c>
      <c r="M879" s="28">
        <v>106.833915</v>
      </c>
      <c r="N879" s="28">
        <v>61.0918505</v>
      </c>
      <c r="O879" s="28">
        <v>871.62065299999995</v>
      </c>
      <c r="P879" s="28">
        <v>1128.3793499999999</v>
      </c>
    </row>
    <row r="880" spans="1:16" x14ac:dyDescent="0.25">
      <c r="A880" s="40">
        <v>3</v>
      </c>
      <c r="B880" s="40">
        <v>122</v>
      </c>
      <c r="C880" s="28">
        <v>13.352837900000001</v>
      </c>
      <c r="D880" s="28">
        <v>6.2600972700000002</v>
      </c>
      <c r="E880" s="28">
        <v>29.815123</v>
      </c>
      <c r="F880" s="28">
        <v>23.696358199999999</v>
      </c>
      <c r="G880" s="28">
        <v>18.580261799999999</v>
      </c>
      <c r="H880" s="28">
        <v>67.765016799999998</v>
      </c>
      <c r="I880" s="28">
        <v>49.188586700000002</v>
      </c>
      <c r="J880" s="28">
        <v>964.95618000000002</v>
      </c>
      <c r="K880" s="28">
        <v>906.38452900000004</v>
      </c>
      <c r="L880" s="28">
        <v>4.7961443199999998</v>
      </c>
      <c r="M880" s="28">
        <v>106.572193</v>
      </c>
      <c r="N880" s="28">
        <v>60.5562155</v>
      </c>
      <c r="O880" s="28">
        <v>877.314257</v>
      </c>
      <c r="P880" s="28">
        <v>1122.6857399999999</v>
      </c>
    </row>
    <row r="881" spans="1:16" x14ac:dyDescent="0.25">
      <c r="A881" s="40">
        <v>3</v>
      </c>
      <c r="B881" s="40">
        <v>123</v>
      </c>
      <c r="C881" s="28">
        <v>13.2907125</v>
      </c>
      <c r="D881" s="28">
        <v>6.2818523900000001</v>
      </c>
      <c r="E881" s="28">
        <v>29.921814099999999</v>
      </c>
      <c r="F881" s="28">
        <v>23.580786799999998</v>
      </c>
      <c r="G881" s="28">
        <v>18.3234925</v>
      </c>
      <c r="H881" s="28">
        <v>67.597915400000005</v>
      </c>
      <c r="I881" s="28">
        <v>47.861450099999999</v>
      </c>
      <c r="J881" s="28">
        <v>966.94051899999999</v>
      </c>
      <c r="K881" s="28">
        <v>903.00623900000005</v>
      </c>
      <c r="L881" s="28">
        <v>4.8287591000000001</v>
      </c>
      <c r="M881" s="28">
        <v>107.034913</v>
      </c>
      <c r="N881" s="28">
        <v>60.374360299999999</v>
      </c>
      <c r="O881" s="28">
        <v>883.28017799999998</v>
      </c>
      <c r="P881" s="28">
        <v>1116.71982</v>
      </c>
    </row>
    <row r="882" spans="1:16" x14ac:dyDescent="0.25">
      <c r="A882" s="40">
        <v>3</v>
      </c>
      <c r="B882" s="40">
        <v>124</v>
      </c>
      <c r="C882" s="28">
        <v>13.067205700000001</v>
      </c>
      <c r="D882" s="28">
        <v>6.2793808999999996</v>
      </c>
      <c r="E882" s="28">
        <v>29.509345400000001</v>
      </c>
      <c r="F882" s="28">
        <v>23.636869600000001</v>
      </c>
      <c r="G882" s="28">
        <v>18.655559100000001</v>
      </c>
      <c r="H882" s="28">
        <v>66.983863499999998</v>
      </c>
      <c r="I882" s="28">
        <v>47.455616800000001</v>
      </c>
      <c r="J882" s="28">
        <v>965.23089000000004</v>
      </c>
      <c r="K882" s="28">
        <v>905.83157200000005</v>
      </c>
      <c r="L882" s="28">
        <v>4.8508930599999998</v>
      </c>
      <c r="M882" s="28">
        <v>106.993985</v>
      </c>
      <c r="N882" s="28">
        <v>60.875311199999999</v>
      </c>
      <c r="O882" s="28">
        <v>887.328937</v>
      </c>
      <c r="P882" s="28">
        <v>1112.6710599999999</v>
      </c>
    </row>
    <row r="883" spans="1:16" x14ac:dyDescent="0.25">
      <c r="A883" s="40">
        <v>3</v>
      </c>
      <c r="B883" s="40">
        <v>125</v>
      </c>
      <c r="C883" s="28">
        <v>13.095514400000001</v>
      </c>
      <c r="D883" s="28">
        <v>6.2641308699999998</v>
      </c>
      <c r="E883" s="28">
        <v>29.925635799999998</v>
      </c>
      <c r="F883" s="28">
        <v>23.576756899999999</v>
      </c>
      <c r="G883" s="28">
        <v>18.593642899999999</v>
      </c>
      <c r="H883" s="28">
        <v>67.987188099999997</v>
      </c>
      <c r="I883" s="28">
        <v>46.655797100000001</v>
      </c>
      <c r="J883" s="28">
        <v>967.66709100000003</v>
      </c>
      <c r="K883" s="28">
        <v>908.72447099999999</v>
      </c>
      <c r="L883" s="28">
        <v>4.8864685899999998</v>
      </c>
      <c r="M883" s="28">
        <v>106.94136399999999</v>
      </c>
      <c r="N883" s="28">
        <v>61.868896399999997</v>
      </c>
      <c r="O883" s="28">
        <v>893.83644100000004</v>
      </c>
      <c r="P883" s="28">
        <v>1106.16356</v>
      </c>
    </row>
    <row r="884" spans="1:16" x14ac:dyDescent="0.25">
      <c r="A884" s="40">
        <v>3</v>
      </c>
      <c r="B884" s="40">
        <v>126</v>
      </c>
      <c r="C884" s="28">
        <v>12.9827236</v>
      </c>
      <c r="D884" s="28">
        <v>6.2417014200000001</v>
      </c>
      <c r="E884" s="28">
        <v>29.8641553</v>
      </c>
      <c r="F884" s="28">
        <v>23.241388000000001</v>
      </c>
      <c r="G884" s="28">
        <v>18.596014100000001</v>
      </c>
      <c r="H884" s="28">
        <v>70.053617500000001</v>
      </c>
      <c r="I884" s="28">
        <v>47.098766500000004</v>
      </c>
      <c r="J884" s="28">
        <v>966.862888</v>
      </c>
      <c r="K884" s="28">
        <v>904.69107799999995</v>
      </c>
      <c r="L884" s="28">
        <v>4.8375828299999997</v>
      </c>
      <c r="M884" s="28">
        <v>106.72263</v>
      </c>
      <c r="N884" s="28">
        <v>60.534398699999997</v>
      </c>
      <c r="O884" s="28">
        <v>884.89422100000002</v>
      </c>
      <c r="P884" s="28">
        <v>1115.1057800000001</v>
      </c>
    </row>
    <row r="885" spans="1:16" x14ac:dyDescent="0.25">
      <c r="A885" s="40">
        <v>3</v>
      </c>
      <c r="B885" s="40">
        <v>127</v>
      </c>
      <c r="C885" s="28">
        <v>12.856948900000001</v>
      </c>
      <c r="D885" s="28">
        <v>6.2407864200000001</v>
      </c>
      <c r="E885" s="28">
        <v>29.701589200000001</v>
      </c>
      <c r="F885" s="28">
        <v>23.344173699999999</v>
      </c>
      <c r="G885" s="28">
        <v>18.518545700000001</v>
      </c>
      <c r="H885" s="28">
        <v>68.770330700000002</v>
      </c>
      <c r="I885" s="28">
        <v>47.497634900000001</v>
      </c>
      <c r="J885" s="28">
        <v>969.04795200000001</v>
      </c>
      <c r="K885" s="28">
        <v>906.30887900000005</v>
      </c>
      <c r="L885" s="28">
        <v>4.8168270299999998</v>
      </c>
      <c r="M885" s="28">
        <v>106.83298499999999</v>
      </c>
      <c r="N885" s="28">
        <v>62.144143499999998</v>
      </c>
      <c r="O885" s="28">
        <v>881.09755399999995</v>
      </c>
      <c r="P885" s="28">
        <v>1118.90245</v>
      </c>
    </row>
    <row r="886" spans="1:16" x14ac:dyDescent="0.25">
      <c r="A886" s="40">
        <v>3</v>
      </c>
      <c r="B886" s="40">
        <v>128</v>
      </c>
      <c r="C886" s="28">
        <v>13.0389043</v>
      </c>
      <c r="D886" s="28">
        <v>6.1927114799999998</v>
      </c>
      <c r="E886" s="28">
        <v>29.543094799999999</v>
      </c>
      <c r="F886" s="28">
        <v>23.2763974</v>
      </c>
      <c r="G886" s="28">
        <v>18.3013148</v>
      </c>
      <c r="H886" s="28">
        <v>69.218062200000006</v>
      </c>
      <c r="I886" s="28">
        <v>47.807279899999997</v>
      </c>
      <c r="J886" s="28">
        <v>966.81159200000002</v>
      </c>
      <c r="K886" s="28">
        <v>911.68553499999996</v>
      </c>
      <c r="L886" s="28">
        <v>4.7810309499999999</v>
      </c>
      <c r="M886" s="28">
        <v>107.16472899999999</v>
      </c>
      <c r="N886" s="28">
        <v>61.406359399999999</v>
      </c>
      <c r="O886" s="28">
        <v>874.54970800000001</v>
      </c>
      <c r="P886" s="28">
        <v>1125.45029</v>
      </c>
    </row>
    <row r="887" spans="1:16" x14ac:dyDescent="0.25">
      <c r="A887" s="40">
        <v>3</v>
      </c>
      <c r="B887" s="40">
        <v>129</v>
      </c>
      <c r="C887" s="28">
        <v>12.9077901</v>
      </c>
      <c r="D887" s="28">
        <v>6.1403224099999996</v>
      </c>
      <c r="E887" s="28">
        <v>29.6479274</v>
      </c>
      <c r="F887" s="28">
        <v>23.007144199999999</v>
      </c>
      <c r="G887" s="28">
        <v>18.5208184</v>
      </c>
      <c r="H887" s="28">
        <v>68.428480399999998</v>
      </c>
      <c r="I887" s="28">
        <v>47.518908000000003</v>
      </c>
      <c r="J887" s="28">
        <v>968.62019199999997</v>
      </c>
      <c r="K887" s="28">
        <v>912.52787000000001</v>
      </c>
      <c r="L887" s="28">
        <v>4.8388496099999996</v>
      </c>
      <c r="M887" s="28">
        <v>107.936345</v>
      </c>
      <c r="N887" s="28">
        <v>60.648552700000003</v>
      </c>
      <c r="O887" s="28">
        <v>885.12594200000001</v>
      </c>
      <c r="P887" s="28">
        <v>1114.8740600000001</v>
      </c>
    </row>
    <row r="888" spans="1:16" x14ac:dyDescent="0.25">
      <c r="A888" s="40">
        <v>3</v>
      </c>
      <c r="B888" s="40">
        <v>130</v>
      </c>
      <c r="C888" s="28">
        <v>12.905818500000001</v>
      </c>
      <c r="D888" s="28">
        <v>6.1322633900000003</v>
      </c>
      <c r="E888" s="28">
        <v>29.993040700000002</v>
      </c>
      <c r="F888" s="28">
        <v>22.982316300000001</v>
      </c>
      <c r="G888" s="28">
        <v>18.935149500000001</v>
      </c>
      <c r="H888" s="28">
        <v>67.597163199999997</v>
      </c>
      <c r="I888" s="28">
        <v>47.255440399999998</v>
      </c>
      <c r="J888" s="28">
        <v>966.23669299999995</v>
      </c>
      <c r="K888" s="28">
        <v>908.98585000000003</v>
      </c>
      <c r="L888" s="28">
        <v>4.8581402699999998</v>
      </c>
      <c r="M888" s="28">
        <v>107.64261399999999</v>
      </c>
      <c r="N888" s="28">
        <v>61.730688800000003</v>
      </c>
      <c r="O888" s="28">
        <v>888.65460299999995</v>
      </c>
      <c r="P888" s="28">
        <v>1111.3453999999999</v>
      </c>
    </row>
    <row r="889" spans="1:16" x14ac:dyDescent="0.25">
      <c r="A889" s="40">
        <v>3</v>
      </c>
      <c r="B889" s="40">
        <v>131</v>
      </c>
      <c r="C889" s="28">
        <v>13.0516238</v>
      </c>
      <c r="D889" s="28">
        <v>6.1542473199999996</v>
      </c>
      <c r="E889" s="28">
        <v>29.9679097</v>
      </c>
      <c r="F889" s="28">
        <v>22.712311100000001</v>
      </c>
      <c r="G889" s="28">
        <v>18.772274299999999</v>
      </c>
      <c r="H889" s="28">
        <v>67.392446399999997</v>
      </c>
      <c r="I889" s="28">
        <v>47.076729700000001</v>
      </c>
      <c r="J889" s="28">
        <v>967.82319099999995</v>
      </c>
      <c r="K889" s="28">
        <v>913.46179600000005</v>
      </c>
      <c r="L889" s="28">
        <v>4.8723567900000004</v>
      </c>
      <c r="M889" s="28">
        <v>107.693257</v>
      </c>
      <c r="N889" s="28">
        <v>63.0285808</v>
      </c>
      <c r="O889" s="28">
        <v>891.25509999999997</v>
      </c>
      <c r="P889" s="28">
        <v>1108.7448999999999</v>
      </c>
    </row>
    <row r="890" spans="1:16" x14ac:dyDescent="0.25">
      <c r="A890" s="40">
        <v>3</v>
      </c>
      <c r="B890" s="40">
        <v>132</v>
      </c>
      <c r="C890" s="28">
        <v>13.126346699999999</v>
      </c>
      <c r="D890" s="28">
        <v>6.2020011100000003</v>
      </c>
      <c r="E890" s="28">
        <v>30.190621199999999</v>
      </c>
      <c r="F890" s="28">
        <v>22.7935865</v>
      </c>
      <c r="G890" s="28">
        <v>18.9029314</v>
      </c>
      <c r="H890" s="28">
        <v>67.961895400000003</v>
      </c>
      <c r="I890" s="28">
        <v>46.993185699999998</v>
      </c>
      <c r="J890" s="28">
        <v>966.26406499999996</v>
      </c>
      <c r="K890" s="28">
        <v>912.72186499999998</v>
      </c>
      <c r="L890" s="28">
        <v>4.7950708999999998</v>
      </c>
      <c r="M890" s="28">
        <v>108.28219799999999</v>
      </c>
      <c r="N890" s="28">
        <v>62.333238299999998</v>
      </c>
      <c r="O890" s="28">
        <v>877.11790800000006</v>
      </c>
      <c r="P890" s="28">
        <v>1122.8820900000001</v>
      </c>
    </row>
    <row r="891" spans="1:16" x14ac:dyDescent="0.25">
      <c r="A891" s="40">
        <v>3</v>
      </c>
      <c r="B891" s="40">
        <v>133</v>
      </c>
      <c r="C891" s="28">
        <v>12.9811823</v>
      </c>
      <c r="D891" s="28">
        <v>6.2006601699999999</v>
      </c>
      <c r="E891" s="28">
        <v>30.402666400000001</v>
      </c>
      <c r="F891" s="28">
        <v>22.844027700000002</v>
      </c>
      <c r="G891" s="28">
        <v>18.7050041</v>
      </c>
      <c r="H891" s="28">
        <v>68.275771800000001</v>
      </c>
      <c r="I891" s="28">
        <v>46.396054700000001</v>
      </c>
      <c r="J891" s="28">
        <v>968.87114799999995</v>
      </c>
      <c r="K891" s="28">
        <v>914.93120799999997</v>
      </c>
      <c r="L891" s="28">
        <v>4.83591148</v>
      </c>
      <c r="M891" s="28">
        <v>108.483662</v>
      </c>
      <c r="N891" s="28">
        <v>63.2334532</v>
      </c>
      <c r="O891" s="28">
        <v>884.58849599999996</v>
      </c>
      <c r="P891" s="28">
        <v>1115.4114999999999</v>
      </c>
    </row>
    <row r="892" spans="1:16" x14ac:dyDescent="0.25">
      <c r="A892" s="40">
        <v>3</v>
      </c>
      <c r="B892" s="40">
        <v>134</v>
      </c>
      <c r="C892" s="28">
        <v>12.861216499999999</v>
      </c>
      <c r="D892" s="28">
        <v>6.2186032600000001</v>
      </c>
      <c r="E892" s="28">
        <v>30.634290199999999</v>
      </c>
      <c r="F892" s="28">
        <v>22.9249826</v>
      </c>
      <c r="G892" s="28">
        <v>18.691429599999999</v>
      </c>
      <c r="H892" s="28">
        <v>68.352243400000006</v>
      </c>
      <c r="I892" s="28">
        <v>46.892342200000002</v>
      </c>
      <c r="J892" s="28">
        <v>967.60225300000002</v>
      </c>
      <c r="K892" s="28">
        <v>909.66556500000002</v>
      </c>
      <c r="L892" s="28">
        <v>4.8043309399999998</v>
      </c>
      <c r="M892" s="28">
        <v>108.49884400000001</v>
      </c>
      <c r="N892" s="28">
        <v>63.367247399999997</v>
      </c>
      <c r="O892" s="28">
        <v>878.81176000000005</v>
      </c>
      <c r="P892" s="28">
        <v>1121.18824</v>
      </c>
    </row>
    <row r="893" spans="1:16" x14ac:dyDescent="0.25">
      <c r="A893" s="40">
        <v>3</v>
      </c>
      <c r="B893" s="40">
        <v>135</v>
      </c>
      <c r="C893" s="28">
        <v>12.8203592</v>
      </c>
      <c r="D893" s="28">
        <v>6.16970668</v>
      </c>
      <c r="E893" s="28">
        <v>30.681063699999999</v>
      </c>
      <c r="F893" s="28">
        <v>22.953687500000001</v>
      </c>
      <c r="G893" s="28">
        <v>18.836050199999999</v>
      </c>
      <c r="H893" s="28">
        <v>66.652556399999995</v>
      </c>
      <c r="I893" s="28">
        <v>47.370024700000002</v>
      </c>
      <c r="J893" s="28">
        <v>969.10843399999999</v>
      </c>
      <c r="K893" s="28">
        <v>918.64793499999996</v>
      </c>
      <c r="L893" s="28">
        <v>4.7764401300000001</v>
      </c>
      <c r="M893" s="28">
        <v>108.410377</v>
      </c>
      <c r="N893" s="28">
        <v>65.012175600000006</v>
      </c>
      <c r="O893" s="28">
        <v>873.70995200000004</v>
      </c>
      <c r="P893" s="28">
        <v>1126.2900500000001</v>
      </c>
    </row>
    <row r="894" spans="1:16" x14ac:dyDescent="0.25">
      <c r="A894" s="40">
        <v>3</v>
      </c>
      <c r="B894" s="40">
        <v>136</v>
      </c>
      <c r="C894" s="28">
        <v>12.991801799999999</v>
      </c>
      <c r="D894" s="28">
        <v>6.2769862400000003</v>
      </c>
      <c r="E894" s="28">
        <v>30.526161699999999</v>
      </c>
      <c r="F894" s="28">
        <v>22.944173899999999</v>
      </c>
      <c r="G894" s="28">
        <v>18.890740900000001</v>
      </c>
      <c r="H894" s="28">
        <v>66.578559299999995</v>
      </c>
      <c r="I894" s="28">
        <v>47.744391</v>
      </c>
      <c r="J894" s="28">
        <v>967.30861300000004</v>
      </c>
      <c r="K894" s="28">
        <v>923.18445099999997</v>
      </c>
      <c r="L894" s="28">
        <v>4.7606955099999997</v>
      </c>
      <c r="M894" s="28">
        <v>108.02559100000001</v>
      </c>
      <c r="N894" s="28">
        <v>65.192967499999995</v>
      </c>
      <c r="O894" s="28">
        <v>870.82993599999998</v>
      </c>
      <c r="P894" s="28">
        <v>1129.1700599999999</v>
      </c>
    </row>
    <row r="895" spans="1:16" x14ac:dyDescent="0.25">
      <c r="A895" s="40">
        <v>3</v>
      </c>
      <c r="B895" s="40">
        <v>137</v>
      </c>
      <c r="C895" s="28">
        <v>12.9326366</v>
      </c>
      <c r="D895" s="28">
        <v>6.2083656400000002</v>
      </c>
      <c r="E895" s="28">
        <v>30.559595900000001</v>
      </c>
      <c r="F895" s="28">
        <v>22.979847100000001</v>
      </c>
      <c r="G895" s="28">
        <v>19.028456899999998</v>
      </c>
      <c r="H895" s="28">
        <v>66.542912400000006</v>
      </c>
      <c r="I895" s="28">
        <v>47.509054300000003</v>
      </c>
      <c r="J895" s="28">
        <v>969.38718600000004</v>
      </c>
      <c r="K895" s="28">
        <v>921.87364300000002</v>
      </c>
      <c r="L895" s="28">
        <v>4.7438241100000003</v>
      </c>
      <c r="M895" s="28">
        <v>106.752062</v>
      </c>
      <c r="N895" s="28">
        <v>64.176396699999998</v>
      </c>
      <c r="O895" s="28">
        <v>867.74380599999995</v>
      </c>
      <c r="P895" s="28">
        <v>1132.2561900000001</v>
      </c>
    </row>
    <row r="896" spans="1:16" x14ac:dyDescent="0.25">
      <c r="A896" s="40">
        <v>3</v>
      </c>
      <c r="B896" s="40">
        <v>138</v>
      </c>
      <c r="C896" s="28">
        <v>12.9156567</v>
      </c>
      <c r="D896" s="28">
        <v>6.1833576700000004</v>
      </c>
      <c r="E896" s="28">
        <v>30.220790900000001</v>
      </c>
      <c r="F896" s="28">
        <v>22.930130200000001</v>
      </c>
      <c r="G896" s="28">
        <v>18.8082995</v>
      </c>
      <c r="H896" s="28">
        <v>67.462158599999995</v>
      </c>
      <c r="I896" s="28">
        <v>46.707473</v>
      </c>
      <c r="J896" s="28">
        <v>967.83537100000001</v>
      </c>
      <c r="K896" s="28">
        <v>924.71839799999998</v>
      </c>
      <c r="L896" s="28">
        <v>4.8036619800000002</v>
      </c>
      <c r="M896" s="28">
        <v>106.473</v>
      </c>
      <c r="N896" s="28">
        <v>62.517192100000003</v>
      </c>
      <c r="O896" s="28">
        <v>878.68939499999999</v>
      </c>
      <c r="P896" s="28">
        <v>1121.31061</v>
      </c>
    </row>
    <row r="897" spans="1:16" x14ac:dyDescent="0.25">
      <c r="A897" s="40">
        <v>3</v>
      </c>
      <c r="B897" s="40">
        <v>139</v>
      </c>
      <c r="C897" s="28">
        <v>13.028686</v>
      </c>
      <c r="D897" s="28">
        <v>6.2529372499999996</v>
      </c>
      <c r="E897" s="28">
        <v>30.348621000000001</v>
      </c>
      <c r="F897" s="28">
        <v>23.097761899999998</v>
      </c>
      <c r="G897" s="28">
        <v>18.7475168</v>
      </c>
      <c r="H897" s="28">
        <v>66.1955569</v>
      </c>
      <c r="I897" s="28">
        <v>47.309436900000001</v>
      </c>
      <c r="J897" s="28">
        <v>969.53667299999995</v>
      </c>
      <c r="K897" s="28">
        <v>926.84898199999998</v>
      </c>
      <c r="L897" s="28">
        <v>4.7923979000000001</v>
      </c>
      <c r="M897" s="28">
        <v>106.492481</v>
      </c>
      <c r="N897" s="28">
        <v>61.7457384</v>
      </c>
      <c r="O897" s="28">
        <v>876.62896000000001</v>
      </c>
      <c r="P897" s="28">
        <v>1123.37104</v>
      </c>
    </row>
    <row r="898" spans="1:16" x14ac:dyDescent="0.25">
      <c r="A898" s="40">
        <v>3</v>
      </c>
      <c r="B898" s="40">
        <v>140</v>
      </c>
      <c r="C898" s="28">
        <v>13.1653267</v>
      </c>
      <c r="D898" s="28">
        <v>6.2596469900000002</v>
      </c>
      <c r="E898" s="28">
        <v>30.829255</v>
      </c>
      <c r="F898" s="28">
        <v>23.454776800000001</v>
      </c>
      <c r="G898" s="28">
        <v>18.9128717</v>
      </c>
      <c r="H898" s="28">
        <v>66.015018800000007</v>
      </c>
      <c r="I898" s="28">
        <v>47.3204128</v>
      </c>
      <c r="J898" s="28">
        <v>967.69625499999995</v>
      </c>
      <c r="K898" s="28">
        <v>934.32089399999995</v>
      </c>
      <c r="L898" s="28">
        <v>4.8450060099999996</v>
      </c>
      <c r="M898" s="28">
        <v>107.29111899999999</v>
      </c>
      <c r="N898" s="28">
        <v>62.115803399999997</v>
      </c>
      <c r="O898" s="28">
        <v>886.25207499999999</v>
      </c>
      <c r="P898" s="28">
        <v>1113.74792</v>
      </c>
    </row>
    <row r="899" spans="1:16" x14ac:dyDescent="0.25">
      <c r="A899" s="40">
        <v>3</v>
      </c>
      <c r="B899" s="40">
        <v>141</v>
      </c>
      <c r="C899" s="28">
        <v>13.164118</v>
      </c>
      <c r="D899" s="28">
        <v>6.3405844199999999</v>
      </c>
      <c r="E899" s="28">
        <v>30.9589447</v>
      </c>
      <c r="F899" s="28">
        <v>23.637029800000001</v>
      </c>
      <c r="G899" s="28">
        <v>18.8168638</v>
      </c>
      <c r="H899" s="28">
        <v>65.225107499999993</v>
      </c>
      <c r="I899" s="28">
        <v>46.4320801</v>
      </c>
      <c r="J899" s="28">
        <v>969.48119999999994</v>
      </c>
      <c r="K899" s="28">
        <v>934.38785900000005</v>
      </c>
      <c r="L899" s="28">
        <v>4.9000432600000003</v>
      </c>
      <c r="M899" s="28">
        <v>107.339575</v>
      </c>
      <c r="N899" s="28">
        <v>62.187947200000004</v>
      </c>
      <c r="O899" s="28">
        <v>896.31952799999999</v>
      </c>
      <c r="P899" s="28">
        <v>1103.68047</v>
      </c>
    </row>
    <row r="900" spans="1:16" x14ac:dyDescent="0.25">
      <c r="A900" s="40">
        <v>3</v>
      </c>
      <c r="B900" s="40">
        <v>142</v>
      </c>
      <c r="C900" s="28">
        <v>13.2499749</v>
      </c>
      <c r="D900" s="28">
        <v>6.35827192</v>
      </c>
      <c r="E900" s="28">
        <v>31.368456800000001</v>
      </c>
      <c r="F900" s="28">
        <v>23.757876700000001</v>
      </c>
      <c r="G900" s="28">
        <v>18.681470600000001</v>
      </c>
      <c r="H900" s="28">
        <v>65.675032900000005</v>
      </c>
      <c r="I900" s="28">
        <v>47.385774699999999</v>
      </c>
      <c r="J900" s="28">
        <v>968.21644300000003</v>
      </c>
      <c r="K900" s="28">
        <v>931.21181999999999</v>
      </c>
      <c r="L900" s="28">
        <v>4.8545601300000003</v>
      </c>
      <c r="M900" s="28">
        <v>107.36423499999999</v>
      </c>
      <c r="N900" s="28">
        <v>61.737601599999998</v>
      </c>
      <c r="O900" s="28">
        <v>887.99972100000002</v>
      </c>
      <c r="P900" s="28">
        <v>1112.00028</v>
      </c>
    </row>
    <row r="901" spans="1:16" x14ac:dyDescent="0.25">
      <c r="A901" s="40">
        <v>3</v>
      </c>
      <c r="B901" s="40">
        <v>143</v>
      </c>
      <c r="C901" s="28">
        <v>13.375492299999999</v>
      </c>
      <c r="D901" s="28">
        <v>6.4261042000000002</v>
      </c>
      <c r="E901" s="28">
        <v>31.5564769</v>
      </c>
      <c r="F901" s="28">
        <v>23.502891300000002</v>
      </c>
      <c r="G901" s="28">
        <v>18.702840699999999</v>
      </c>
      <c r="H901" s="28">
        <v>66.512781200000006</v>
      </c>
      <c r="I901" s="28">
        <v>47.816142499999998</v>
      </c>
      <c r="J901" s="28">
        <v>970.45923100000005</v>
      </c>
      <c r="K901" s="28">
        <v>924.21443699999998</v>
      </c>
      <c r="L901" s="28">
        <v>4.9999969000000002</v>
      </c>
      <c r="M901" s="28">
        <v>107.142274</v>
      </c>
      <c r="N901" s="28">
        <v>62.678216399999997</v>
      </c>
      <c r="O901" s="28">
        <v>914.60312199999998</v>
      </c>
      <c r="P901" s="28">
        <v>1085.39688</v>
      </c>
    </row>
    <row r="902" spans="1:16" x14ac:dyDescent="0.25">
      <c r="A902" s="40">
        <v>3</v>
      </c>
      <c r="B902" s="40">
        <v>144</v>
      </c>
      <c r="C902" s="28">
        <v>13.218935099999999</v>
      </c>
      <c r="D902" s="28">
        <v>6.3665440799999997</v>
      </c>
      <c r="E902" s="28">
        <v>31.437954999999999</v>
      </c>
      <c r="F902" s="28">
        <v>23.788877500000002</v>
      </c>
      <c r="G902" s="28">
        <v>18.759110799999998</v>
      </c>
      <c r="H902" s="28">
        <v>66.890341899999996</v>
      </c>
      <c r="I902" s="28">
        <v>47.875790100000003</v>
      </c>
      <c r="J902" s="28">
        <v>969.52536499999997</v>
      </c>
      <c r="K902" s="28">
        <v>925.70667400000002</v>
      </c>
      <c r="L902" s="28">
        <v>4.9997625000000001</v>
      </c>
      <c r="M902" s="28">
        <v>107.355968</v>
      </c>
      <c r="N902" s="28">
        <v>63.979620099999998</v>
      </c>
      <c r="O902" s="28">
        <v>914.56024500000001</v>
      </c>
      <c r="P902" s="28">
        <v>1085.43975</v>
      </c>
    </row>
    <row r="903" spans="1:16" x14ac:dyDescent="0.25">
      <c r="A903" s="40">
        <v>3</v>
      </c>
      <c r="B903" s="40">
        <v>145</v>
      </c>
      <c r="C903" s="28">
        <v>12.9916129</v>
      </c>
      <c r="D903" s="28">
        <v>6.3143927199999998</v>
      </c>
      <c r="E903" s="28">
        <v>31.778896</v>
      </c>
      <c r="F903" s="28">
        <v>24.064961700000001</v>
      </c>
      <c r="G903" s="28">
        <v>18.360083700000001</v>
      </c>
      <c r="H903" s="28">
        <v>65.861150600000002</v>
      </c>
      <c r="I903" s="28">
        <v>47.895997100000002</v>
      </c>
      <c r="J903" s="28">
        <v>971.49748699999998</v>
      </c>
      <c r="K903" s="28">
        <v>925.19597799999997</v>
      </c>
      <c r="L903" s="28">
        <v>5.0949895500000002</v>
      </c>
      <c r="M903" s="28">
        <v>107.191126</v>
      </c>
      <c r="N903" s="28">
        <v>65.559840500000007</v>
      </c>
      <c r="O903" s="28">
        <v>931.97924799999998</v>
      </c>
      <c r="P903" s="28">
        <v>1068.0207499999999</v>
      </c>
    </row>
    <row r="904" spans="1:16" x14ac:dyDescent="0.25">
      <c r="A904" s="40">
        <v>3</v>
      </c>
      <c r="B904" s="40">
        <v>146</v>
      </c>
      <c r="C904" s="28">
        <v>12.8660944</v>
      </c>
      <c r="D904" s="28">
        <v>6.3785604400000002</v>
      </c>
      <c r="E904" s="28">
        <v>31.876851599999998</v>
      </c>
      <c r="F904" s="28">
        <v>24.029556199999998</v>
      </c>
      <c r="G904" s="28">
        <v>18.377981299999998</v>
      </c>
      <c r="H904" s="28">
        <v>66.269873399999994</v>
      </c>
      <c r="I904" s="28">
        <v>47.169384000000001</v>
      </c>
      <c r="J904" s="28">
        <v>970.38711799999999</v>
      </c>
      <c r="K904" s="28">
        <v>917.18503799999996</v>
      </c>
      <c r="L904" s="28">
        <v>5.0516416399999997</v>
      </c>
      <c r="M904" s="28">
        <v>107.10520699999999</v>
      </c>
      <c r="N904" s="28">
        <v>63.868298799999998</v>
      </c>
      <c r="O904" s="28">
        <v>924.05001700000003</v>
      </c>
      <c r="P904" s="28">
        <v>1075.9499800000001</v>
      </c>
    </row>
    <row r="905" spans="1:16" x14ac:dyDescent="0.25">
      <c r="A905" s="40">
        <v>3</v>
      </c>
      <c r="B905" s="40">
        <v>147</v>
      </c>
      <c r="C905" s="28">
        <v>12.940235700000001</v>
      </c>
      <c r="D905" s="28">
        <v>6.4264742400000001</v>
      </c>
      <c r="E905" s="28">
        <v>31.941855</v>
      </c>
      <c r="F905" s="28">
        <v>24.091327499999998</v>
      </c>
      <c r="G905" s="28">
        <v>18.3643663</v>
      </c>
      <c r="H905" s="28">
        <v>65.389519100000001</v>
      </c>
      <c r="I905" s="28">
        <v>46.672646399999998</v>
      </c>
      <c r="J905" s="28">
        <v>971.78089299999999</v>
      </c>
      <c r="K905" s="28">
        <v>918.06645600000002</v>
      </c>
      <c r="L905" s="28">
        <v>5.0170982100000003</v>
      </c>
      <c r="M905" s="28">
        <v>107.40619100000001</v>
      </c>
      <c r="N905" s="28">
        <v>62.967849299999997</v>
      </c>
      <c r="O905" s="28">
        <v>917.73130700000002</v>
      </c>
      <c r="P905" s="28">
        <v>1082.2686900000001</v>
      </c>
    </row>
    <row r="906" spans="1:16" x14ac:dyDescent="0.25">
      <c r="A906" s="40">
        <v>3</v>
      </c>
      <c r="B906" s="40">
        <v>148</v>
      </c>
      <c r="C906" s="28">
        <v>12.9540807</v>
      </c>
      <c r="D906" s="28">
        <v>6.4519537700000003</v>
      </c>
      <c r="E906" s="28">
        <v>32.037610999999998</v>
      </c>
      <c r="F906" s="28">
        <v>24.310862199999999</v>
      </c>
      <c r="G906" s="28">
        <v>18.399050500000001</v>
      </c>
      <c r="H906" s="28">
        <v>64.845898800000001</v>
      </c>
      <c r="I906" s="28">
        <v>47.507719399999999</v>
      </c>
      <c r="J906" s="28">
        <v>970.348524</v>
      </c>
      <c r="K906" s="28">
        <v>918.96847700000001</v>
      </c>
      <c r="L906" s="28">
        <v>4.9786991399999998</v>
      </c>
      <c r="M906" s="28">
        <v>107.881107</v>
      </c>
      <c r="N906" s="28">
        <v>63.908957399999998</v>
      </c>
      <c r="O906" s="28">
        <v>910.70731999999998</v>
      </c>
      <c r="P906" s="28">
        <v>1089.29268</v>
      </c>
    </row>
    <row r="907" spans="1:16" x14ac:dyDescent="0.25">
      <c r="A907" s="40">
        <v>3</v>
      </c>
      <c r="B907" s="40">
        <v>149</v>
      </c>
      <c r="C907" s="28">
        <v>13.0844285</v>
      </c>
      <c r="D907" s="28">
        <v>6.4624613999999996</v>
      </c>
      <c r="E907" s="28">
        <v>31.9793655</v>
      </c>
      <c r="F907" s="28">
        <v>24.642645900000002</v>
      </c>
      <c r="G907" s="28">
        <v>18.067924999999999</v>
      </c>
      <c r="H907" s="28">
        <v>65.330125800000005</v>
      </c>
      <c r="I907" s="28">
        <v>47.404117900000003</v>
      </c>
      <c r="J907" s="28">
        <v>972.51226799999995</v>
      </c>
      <c r="K907" s="28">
        <v>922.88541199999997</v>
      </c>
      <c r="L907" s="28">
        <v>4.9794526599999998</v>
      </c>
      <c r="M907" s="28">
        <v>107.557226</v>
      </c>
      <c r="N907" s="28">
        <v>63.776793900000001</v>
      </c>
      <c r="O907" s="28">
        <v>910.84515399999998</v>
      </c>
      <c r="P907" s="28">
        <v>1089.1548499999999</v>
      </c>
    </row>
    <row r="908" spans="1:16" x14ac:dyDescent="0.25">
      <c r="A908" s="40">
        <v>3</v>
      </c>
      <c r="B908" s="40">
        <v>150</v>
      </c>
      <c r="C908" s="28">
        <v>12.906613500000001</v>
      </c>
      <c r="D908" s="28">
        <v>6.4770608999999997</v>
      </c>
      <c r="E908" s="28">
        <v>31.9171975</v>
      </c>
      <c r="F908" s="28">
        <v>24.674060900000001</v>
      </c>
      <c r="G908" s="28">
        <v>18.008927499999999</v>
      </c>
      <c r="H908" s="28">
        <v>65.657009400000007</v>
      </c>
      <c r="I908" s="28">
        <v>48.874920199999998</v>
      </c>
      <c r="J908" s="28">
        <v>972.03205200000002</v>
      </c>
      <c r="K908" s="28">
        <v>918.95811700000002</v>
      </c>
      <c r="L908" s="28">
        <v>4.9674521299999999</v>
      </c>
      <c r="M908" s="28">
        <v>108.217304</v>
      </c>
      <c r="N908" s="28">
        <v>64.083269599999994</v>
      </c>
      <c r="O908" s="28">
        <v>908.65000799999996</v>
      </c>
      <c r="P908" s="28">
        <v>1091.3499899999999</v>
      </c>
    </row>
    <row r="909" spans="1:16" x14ac:dyDescent="0.25">
      <c r="A909" s="40">
        <v>3</v>
      </c>
      <c r="B909" s="40">
        <v>151</v>
      </c>
      <c r="C909" s="28">
        <v>12.7088669</v>
      </c>
      <c r="D909" s="28">
        <v>6.5377785499999996</v>
      </c>
      <c r="E909" s="28">
        <v>31.805389099999999</v>
      </c>
      <c r="F909" s="28">
        <v>24.151783999999999</v>
      </c>
      <c r="G909" s="28">
        <v>18.040313000000001</v>
      </c>
      <c r="H909" s="28">
        <v>66.416577399999994</v>
      </c>
      <c r="I909" s="28">
        <v>49.061007500000002</v>
      </c>
      <c r="J909" s="28">
        <v>974.63046099999997</v>
      </c>
      <c r="K909" s="28">
        <v>921.87053000000003</v>
      </c>
      <c r="L909" s="28">
        <v>5.0328721500000002</v>
      </c>
      <c r="M909" s="28">
        <v>107.18244199999999</v>
      </c>
      <c r="N909" s="28">
        <v>63.168402899999997</v>
      </c>
      <c r="O909" s="28">
        <v>920.61668699999996</v>
      </c>
      <c r="P909" s="28">
        <v>1079.3833099999999</v>
      </c>
    </row>
    <row r="910" spans="1:16" x14ac:dyDescent="0.25">
      <c r="A910" s="40">
        <v>3</v>
      </c>
      <c r="B910" s="40">
        <v>152</v>
      </c>
      <c r="C910" s="28">
        <v>12.7942</v>
      </c>
      <c r="D910" s="28">
        <v>6.5493350000000001</v>
      </c>
      <c r="E910" s="28">
        <v>31.649503299999999</v>
      </c>
      <c r="F910" s="28">
        <v>24.221259</v>
      </c>
      <c r="G910" s="28">
        <v>17.9189133</v>
      </c>
      <c r="H910" s="28">
        <v>66.310958900000003</v>
      </c>
      <c r="I910" s="28">
        <v>48.750706600000001</v>
      </c>
      <c r="J910" s="28">
        <v>972.86325999999997</v>
      </c>
      <c r="K910" s="28">
        <v>930.90440699999999</v>
      </c>
      <c r="L910" s="28">
        <v>4.9565841800000001</v>
      </c>
      <c r="M910" s="28">
        <v>107.341463</v>
      </c>
      <c r="N910" s="28">
        <v>63.264013499999997</v>
      </c>
      <c r="O910" s="28">
        <v>906.66203499999995</v>
      </c>
      <c r="P910" s="28">
        <v>1093.3379600000001</v>
      </c>
    </row>
    <row r="911" spans="1:16" x14ac:dyDescent="0.25">
      <c r="A911" s="40">
        <v>3</v>
      </c>
      <c r="B911" s="40">
        <v>153</v>
      </c>
      <c r="C911" s="28">
        <v>12.7594066</v>
      </c>
      <c r="D911" s="28">
        <v>6.5008170099999996</v>
      </c>
      <c r="E911" s="28">
        <v>31.302383599999999</v>
      </c>
      <c r="F911" s="28">
        <v>24.216925100000001</v>
      </c>
      <c r="G911" s="28">
        <v>17.999685100000001</v>
      </c>
      <c r="H911" s="28">
        <v>66.007048900000001</v>
      </c>
      <c r="I911" s="28">
        <v>48.090027900000003</v>
      </c>
      <c r="J911" s="28">
        <v>974.43109300000003</v>
      </c>
      <c r="K911" s="28">
        <v>932.572633</v>
      </c>
      <c r="L911" s="28">
        <v>4.94465179</v>
      </c>
      <c r="M911" s="28">
        <v>107.874146</v>
      </c>
      <c r="N911" s="28">
        <v>62.975219699999997</v>
      </c>
      <c r="O911" s="28">
        <v>904.47935299999995</v>
      </c>
      <c r="P911" s="28">
        <v>1095.5206499999999</v>
      </c>
    </row>
    <row r="912" spans="1:16" x14ac:dyDescent="0.25">
      <c r="A912" s="40">
        <v>3</v>
      </c>
      <c r="B912" s="40">
        <v>154</v>
      </c>
      <c r="C912" s="28">
        <v>12.9947926</v>
      </c>
      <c r="D912" s="28">
        <v>6.5047913900000003</v>
      </c>
      <c r="E912" s="28">
        <v>31.435447499999999</v>
      </c>
      <c r="F912" s="28">
        <v>24.0207604</v>
      </c>
      <c r="G912" s="28">
        <v>18.001511099999998</v>
      </c>
      <c r="H912" s="28">
        <v>66.078952200000003</v>
      </c>
      <c r="I912" s="28">
        <v>47.788248199999998</v>
      </c>
      <c r="J912" s="28">
        <v>972.14438399999995</v>
      </c>
      <c r="K912" s="28">
        <v>926.19687399999998</v>
      </c>
      <c r="L912" s="28">
        <v>4.9978623799999999</v>
      </c>
      <c r="M912" s="28">
        <v>107.297208</v>
      </c>
      <c r="N912" s="28">
        <v>63.992965900000002</v>
      </c>
      <c r="O912" s="28">
        <v>914.21267399999999</v>
      </c>
      <c r="P912" s="28">
        <v>1085.7873300000001</v>
      </c>
    </row>
    <row r="913" spans="1:16" x14ac:dyDescent="0.25">
      <c r="A913" s="40">
        <v>3</v>
      </c>
      <c r="B913" s="40">
        <v>155</v>
      </c>
      <c r="C913" s="28">
        <v>12.9077526</v>
      </c>
      <c r="D913" s="28">
        <v>6.5335756800000002</v>
      </c>
      <c r="E913" s="28">
        <v>31.5975684</v>
      </c>
      <c r="F913" s="28">
        <v>24.227725299999999</v>
      </c>
      <c r="G913" s="28">
        <v>18.0567685</v>
      </c>
      <c r="H913" s="28">
        <v>65.209739900000002</v>
      </c>
      <c r="I913" s="28">
        <v>47.782594699999997</v>
      </c>
      <c r="J913" s="28">
        <v>974.00503800000001</v>
      </c>
      <c r="K913" s="28">
        <v>929.57965100000001</v>
      </c>
      <c r="L913" s="28">
        <v>4.9474600300000002</v>
      </c>
      <c r="M913" s="28">
        <v>106.744668</v>
      </c>
      <c r="N913" s="28">
        <v>63.388441899999997</v>
      </c>
      <c r="O913" s="28">
        <v>904.99303999999995</v>
      </c>
      <c r="P913" s="28">
        <v>1095.0069599999999</v>
      </c>
    </row>
    <row r="914" spans="1:16" x14ac:dyDescent="0.25">
      <c r="A914" s="40">
        <v>3</v>
      </c>
      <c r="B914" s="40">
        <v>156</v>
      </c>
      <c r="C914" s="28">
        <v>12.923479499999999</v>
      </c>
      <c r="D914" s="28">
        <v>6.4912840000000003</v>
      </c>
      <c r="E914" s="28">
        <v>32.010438000000001</v>
      </c>
      <c r="F914" s="28">
        <v>23.870840000000001</v>
      </c>
      <c r="G914" s="28">
        <v>18.3182194</v>
      </c>
      <c r="H914" s="28">
        <v>65.2948035</v>
      </c>
      <c r="I914" s="28">
        <v>48.794854399999998</v>
      </c>
      <c r="J914" s="28">
        <v>972.36338499999999</v>
      </c>
      <c r="K914" s="28">
        <v>926.77456199999995</v>
      </c>
      <c r="L914" s="28">
        <v>4.9477421000000001</v>
      </c>
      <c r="M914" s="28">
        <v>107.39646399999999</v>
      </c>
      <c r="N914" s="28">
        <v>62.175463000000001</v>
      </c>
      <c r="O914" s="28">
        <v>905.04463499999997</v>
      </c>
      <c r="P914" s="28">
        <v>1094.9553599999999</v>
      </c>
    </row>
    <row r="915" spans="1:16" x14ac:dyDescent="0.25">
      <c r="A915" s="40">
        <v>3</v>
      </c>
      <c r="B915" s="40">
        <v>157</v>
      </c>
      <c r="C915" s="28">
        <v>13.0784465</v>
      </c>
      <c r="D915" s="28">
        <v>6.4703985399999997</v>
      </c>
      <c r="E915" s="28">
        <v>31.709266499999998</v>
      </c>
      <c r="F915" s="28">
        <v>23.939419999999998</v>
      </c>
      <c r="G915" s="28">
        <v>18.448852899999999</v>
      </c>
      <c r="H915" s="28">
        <v>66.000239399999998</v>
      </c>
      <c r="I915" s="28">
        <v>49.509171799999997</v>
      </c>
      <c r="J915" s="28">
        <v>974.48961699999995</v>
      </c>
      <c r="K915" s="28">
        <v>933.85364600000003</v>
      </c>
      <c r="L915" s="28">
        <v>5.0109306399999998</v>
      </c>
      <c r="M915" s="28">
        <v>107.779984</v>
      </c>
      <c r="N915" s="28">
        <v>61.761097800000002</v>
      </c>
      <c r="O915" s="28">
        <v>916.60312999999996</v>
      </c>
      <c r="P915" s="28">
        <v>1083.39687</v>
      </c>
    </row>
    <row r="916" spans="1:16" x14ac:dyDescent="0.25">
      <c r="A916" s="40">
        <v>3</v>
      </c>
      <c r="B916" s="40">
        <v>158</v>
      </c>
      <c r="C916" s="28">
        <v>12.8984179</v>
      </c>
      <c r="D916" s="28">
        <v>6.4435148399999997</v>
      </c>
      <c r="E916" s="28">
        <v>31.746216400000002</v>
      </c>
      <c r="F916" s="28">
        <v>23.646637599999998</v>
      </c>
      <c r="G916" s="28">
        <v>18.825272300000002</v>
      </c>
      <c r="H916" s="28">
        <v>65.101461900000004</v>
      </c>
      <c r="I916" s="28">
        <v>49.9380551</v>
      </c>
      <c r="J916" s="28">
        <v>972.79305799999997</v>
      </c>
      <c r="K916" s="28">
        <v>937.13788299999999</v>
      </c>
      <c r="L916" s="28">
        <v>5.0210050400000004</v>
      </c>
      <c r="M916" s="28">
        <v>108.085644</v>
      </c>
      <c r="N916" s="28">
        <v>61.278115700000001</v>
      </c>
      <c r="O916" s="28">
        <v>918.44594600000005</v>
      </c>
      <c r="P916" s="28">
        <v>1081.55405</v>
      </c>
    </row>
    <row r="917" spans="1:16" x14ac:dyDescent="0.25">
      <c r="A917" s="40">
        <v>3</v>
      </c>
      <c r="B917" s="40">
        <v>159</v>
      </c>
      <c r="C917" s="28">
        <v>12.844294</v>
      </c>
      <c r="D917" s="28">
        <v>6.48269743</v>
      </c>
      <c r="E917" s="28">
        <v>31.876249300000001</v>
      </c>
      <c r="F917" s="28">
        <v>23.5424784</v>
      </c>
      <c r="G917" s="28">
        <v>18.8691861</v>
      </c>
      <c r="H917" s="28">
        <v>65.425963100000004</v>
      </c>
      <c r="I917" s="28">
        <v>49.733682700000003</v>
      </c>
      <c r="J917" s="28">
        <v>974.87837000000002</v>
      </c>
      <c r="K917" s="28">
        <v>931.63994500000001</v>
      </c>
      <c r="L917" s="28">
        <v>5.0778585600000001</v>
      </c>
      <c r="M917" s="28">
        <v>107.429789</v>
      </c>
      <c r="N917" s="28">
        <v>62.704310800000002</v>
      </c>
      <c r="O917" s="28">
        <v>928.84563500000002</v>
      </c>
      <c r="P917" s="28">
        <v>1071.15436</v>
      </c>
    </row>
    <row r="918" spans="1:16" x14ac:dyDescent="0.25">
      <c r="A918" s="40">
        <v>3</v>
      </c>
      <c r="B918" s="40">
        <v>160</v>
      </c>
      <c r="C918" s="28">
        <v>12.8617285</v>
      </c>
      <c r="D918" s="28">
        <v>6.5250181300000003</v>
      </c>
      <c r="E918" s="28">
        <v>31.666018099999999</v>
      </c>
      <c r="F918" s="28">
        <v>23.721733700000001</v>
      </c>
      <c r="G918" s="28">
        <v>18.978214900000001</v>
      </c>
      <c r="H918" s="28">
        <v>64.658369800000003</v>
      </c>
      <c r="I918" s="28">
        <v>49.445586300000002</v>
      </c>
      <c r="J918" s="28">
        <v>973.20108500000003</v>
      </c>
      <c r="K918" s="28">
        <v>929.54229999999995</v>
      </c>
      <c r="L918" s="28">
        <v>5.0358356899999999</v>
      </c>
      <c r="M918" s="28">
        <v>106.99212900000001</v>
      </c>
      <c r="N918" s="28">
        <v>62.043447399999998</v>
      </c>
      <c r="O918" s="28">
        <v>921.15878099999998</v>
      </c>
      <c r="P918" s="28">
        <v>1078.84122</v>
      </c>
    </row>
    <row r="919" spans="1:16" x14ac:dyDescent="0.25">
      <c r="A919" s="40">
        <v>3</v>
      </c>
      <c r="B919" s="40">
        <v>161</v>
      </c>
      <c r="C919" s="28">
        <v>12.9503457</v>
      </c>
      <c r="D919" s="28">
        <v>6.4789517999999999</v>
      </c>
      <c r="E919" s="28">
        <v>32.160330100000003</v>
      </c>
      <c r="F919" s="28">
        <v>24.0037132</v>
      </c>
      <c r="G919" s="28">
        <v>18.888784699999999</v>
      </c>
      <c r="H919" s="28">
        <v>63.830712800000001</v>
      </c>
      <c r="I919" s="28">
        <v>50.590144299999999</v>
      </c>
      <c r="J919" s="28">
        <v>974.63053600000001</v>
      </c>
      <c r="K919" s="28">
        <v>927.28361199999995</v>
      </c>
      <c r="L919" s="28">
        <v>5.0297586299999999</v>
      </c>
      <c r="M919" s="28">
        <v>107.007009</v>
      </c>
      <c r="N919" s="28">
        <v>62.546352300000002</v>
      </c>
      <c r="O919" s="28">
        <v>920.04715999999996</v>
      </c>
      <c r="P919" s="28">
        <v>1079.9528399999999</v>
      </c>
    </row>
    <row r="920" spans="1:16" x14ac:dyDescent="0.25">
      <c r="A920" s="40">
        <v>3</v>
      </c>
      <c r="B920" s="40">
        <v>162</v>
      </c>
      <c r="C920" s="28">
        <v>12.822596900000001</v>
      </c>
      <c r="D920" s="28">
        <v>6.4136949300000001</v>
      </c>
      <c r="E920" s="28">
        <v>32.301944800000001</v>
      </c>
      <c r="F920" s="28">
        <v>23.649964400000002</v>
      </c>
      <c r="G920" s="28">
        <v>19.0351645</v>
      </c>
      <c r="H920" s="28">
        <v>63.996811200000003</v>
      </c>
      <c r="I920" s="28">
        <v>51.000416800000004</v>
      </c>
      <c r="J920" s="28">
        <v>973.20918800000004</v>
      </c>
      <c r="K920" s="28">
        <v>934.659177</v>
      </c>
      <c r="L920" s="28">
        <v>5.05222046</v>
      </c>
      <c r="M920" s="28">
        <v>107.08736399999999</v>
      </c>
      <c r="N920" s="28">
        <v>63.2187646</v>
      </c>
      <c r="O920" s="28">
        <v>924.15589399999999</v>
      </c>
      <c r="P920" s="28">
        <v>1075.84411</v>
      </c>
    </row>
    <row r="921" spans="1:16" x14ac:dyDescent="0.25">
      <c r="A921" s="40">
        <v>3</v>
      </c>
      <c r="B921" s="40">
        <v>163</v>
      </c>
      <c r="C921" s="28">
        <v>12.8448695</v>
      </c>
      <c r="D921" s="28">
        <v>6.4250236100000002</v>
      </c>
      <c r="E921" s="28">
        <v>32.5404585</v>
      </c>
      <c r="F921" s="28">
        <v>23.537459200000001</v>
      </c>
      <c r="G921" s="28">
        <v>18.8914832</v>
      </c>
      <c r="H921" s="28">
        <v>64.6404201</v>
      </c>
      <c r="I921" s="28">
        <v>51.350426599999999</v>
      </c>
      <c r="J921" s="28">
        <v>975.24665300000004</v>
      </c>
      <c r="K921" s="28">
        <v>937.13818300000003</v>
      </c>
      <c r="L921" s="28">
        <v>5.0183422699999998</v>
      </c>
      <c r="M921" s="28">
        <v>106.79634299999999</v>
      </c>
      <c r="N921" s="28">
        <v>63.684229100000003</v>
      </c>
      <c r="O921" s="28">
        <v>917.95887100000004</v>
      </c>
      <c r="P921" s="28">
        <v>1082.0411300000001</v>
      </c>
    </row>
    <row r="922" spans="1:16" x14ac:dyDescent="0.25">
      <c r="A922" s="40">
        <v>3</v>
      </c>
      <c r="B922" s="40">
        <v>164</v>
      </c>
      <c r="C922" s="28">
        <v>12.7169218</v>
      </c>
      <c r="D922" s="28">
        <v>6.4158389299999996</v>
      </c>
      <c r="E922" s="28">
        <v>32.336898699999999</v>
      </c>
      <c r="F922" s="28">
        <v>23.7525373</v>
      </c>
      <c r="G922" s="28">
        <v>18.746949600000001</v>
      </c>
      <c r="H922" s="28">
        <v>63.885199700000001</v>
      </c>
      <c r="I922" s="28">
        <v>50.614605300000001</v>
      </c>
      <c r="J922" s="28">
        <v>973.76616000000001</v>
      </c>
      <c r="K922" s="28">
        <v>939.23043600000005</v>
      </c>
      <c r="L922" s="28">
        <v>4.9817581799999999</v>
      </c>
      <c r="M922" s="28">
        <v>107.07504900000001</v>
      </c>
      <c r="N922" s="28">
        <v>62.8993167</v>
      </c>
      <c r="O922" s="28">
        <v>911.26688300000001</v>
      </c>
      <c r="P922" s="28">
        <v>1088.7331200000001</v>
      </c>
    </row>
    <row r="923" spans="1:16" x14ac:dyDescent="0.25">
      <c r="A923" s="40">
        <v>3</v>
      </c>
      <c r="B923" s="40">
        <v>165</v>
      </c>
      <c r="C923" s="28">
        <v>12.5806459</v>
      </c>
      <c r="D923" s="28">
        <v>6.3666267699999999</v>
      </c>
      <c r="E923" s="28">
        <v>32.061138399999997</v>
      </c>
      <c r="F923" s="28">
        <v>23.643641500000001</v>
      </c>
      <c r="G923" s="28">
        <v>18.832970299999999</v>
      </c>
      <c r="H923" s="28">
        <v>63.099606299999998</v>
      </c>
      <c r="I923" s="28">
        <v>49.335341800000002</v>
      </c>
      <c r="J923" s="28">
        <v>974.94376799999998</v>
      </c>
      <c r="K923" s="28">
        <v>941.08844599999998</v>
      </c>
      <c r="L923" s="28">
        <v>4.9639653099999999</v>
      </c>
      <c r="M923" s="28">
        <v>107.232602</v>
      </c>
      <c r="N923" s="28">
        <v>62.915334299999998</v>
      </c>
      <c r="O923" s="28">
        <v>908.01219800000001</v>
      </c>
      <c r="P923" s="28">
        <v>1091.9878000000001</v>
      </c>
    </row>
    <row r="924" spans="1:16" x14ac:dyDescent="0.25">
      <c r="A924" s="40">
        <v>3</v>
      </c>
      <c r="B924" s="40">
        <v>166</v>
      </c>
      <c r="C924" s="28">
        <v>12.556930400000001</v>
      </c>
      <c r="D924" s="28">
        <v>6.3812857200000002</v>
      </c>
      <c r="E924" s="28">
        <v>32.148510000000002</v>
      </c>
      <c r="F924" s="28">
        <v>23.395864599999999</v>
      </c>
      <c r="G924" s="28">
        <v>18.495050899999999</v>
      </c>
      <c r="H924" s="28">
        <v>64.236706600000005</v>
      </c>
      <c r="I924" s="28">
        <v>49.642553499999998</v>
      </c>
      <c r="J924" s="28">
        <v>974.14349800000002</v>
      </c>
      <c r="K924" s="28">
        <v>942.75061600000004</v>
      </c>
      <c r="L924" s="28">
        <v>5.0448543800000003</v>
      </c>
      <c r="M924" s="28">
        <v>108.040752</v>
      </c>
      <c r="N924" s="28">
        <v>63.309545499999999</v>
      </c>
      <c r="O924" s="28">
        <v>922.80848500000002</v>
      </c>
      <c r="P924" s="28">
        <v>1077.1915100000001</v>
      </c>
    </row>
    <row r="925" spans="1:16" x14ac:dyDescent="0.25">
      <c r="A925" s="40">
        <v>3</v>
      </c>
      <c r="B925" s="40">
        <v>167</v>
      </c>
      <c r="C925" s="28">
        <v>12.557523099999999</v>
      </c>
      <c r="D925" s="28">
        <v>6.3994461999999999</v>
      </c>
      <c r="E925" s="28">
        <v>32.518185799999998</v>
      </c>
      <c r="F925" s="28">
        <v>23.314145799999999</v>
      </c>
      <c r="G925" s="28">
        <v>18.600404600000001</v>
      </c>
      <c r="H925" s="28">
        <v>63.358819500000003</v>
      </c>
      <c r="I925" s="28">
        <v>49.852705100000001</v>
      </c>
      <c r="J925" s="28">
        <v>975.40668200000005</v>
      </c>
      <c r="K925" s="28">
        <v>945.18246099999999</v>
      </c>
      <c r="L925" s="28">
        <v>5.0508391699999997</v>
      </c>
      <c r="M925" s="28">
        <v>106.949215</v>
      </c>
      <c r="N925" s="28">
        <v>62.440487699999998</v>
      </c>
      <c r="O925" s="28">
        <v>923.90322700000002</v>
      </c>
      <c r="P925" s="28">
        <v>1076.0967700000001</v>
      </c>
    </row>
    <row r="926" spans="1:16" x14ac:dyDescent="0.25">
      <c r="A926" s="40">
        <v>3</v>
      </c>
      <c r="B926" s="40">
        <v>168</v>
      </c>
      <c r="C926" s="28">
        <v>12.509099900000001</v>
      </c>
      <c r="D926" s="28">
        <v>6.4540204900000004</v>
      </c>
      <c r="E926" s="28">
        <v>32.581054000000002</v>
      </c>
      <c r="F926" s="28">
        <v>23.338851500000001</v>
      </c>
      <c r="G926" s="28">
        <v>18.7310731</v>
      </c>
      <c r="H926" s="28">
        <v>63.704514400000001</v>
      </c>
      <c r="I926" s="28">
        <v>50.936248499999998</v>
      </c>
      <c r="J926" s="28">
        <v>974.87839299999996</v>
      </c>
      <c r="K926" s="28">
        <v>942.28648099999998</v>
      </c>
      <c r="L926" s="28">
        <v>4.9400754600000001</v>
      </c>
      <c r="M926" s="28">
        <v>107.163051</v>
      </c>
      <c r="N926" s="28">
        <v>62.955450200000001</v>
      </c>
      <c r="O926" s="28">
        <v>903.642248</v>
      </c>
      <c r="P926" s="28">
        <v>1096.3577499999999</v>
      </c>
    </row>
    <row r="927" spans="1:16" x14ac:dyDescent="0.25">
      <c r="A927" s="40">
        <v>3</v>
      </c>
      <c r="B927" s="40">
        <v>169</v>
      </c>
      <c r="C927" s="28">
        <v>12.478096799999999</v>
      </c>
      <c r="D927" s="28">
        <v>6.5366882799999999</v>
      </c>
      <c r="E927" s="28">
        <v>32.5983047</v>
      </c>
      <c r="F927" s="28">
        <v>23.005708899999998</v>
      </c>
      <c r="G927" s="28">
        <v>18.539324100000002</v>
      </c>
      <c r="H927" s="28">
        <v>64.173607700000005</v>
      </c>
      <c r="I927" s="28">
        <v>51.2435981</v>
      </c>
      <c r="J927" s="28">
        <v>976.92712700000004</v>
      </c>
      <c r="K927" s="28">
        <v>946.75762299999997</v>
      </c>
      <c r="L927" s="28">
        <v>4.9843836799999997</v>
      </c>
      <c r="M927" s="28">
        <v>107.386314</v>
      </c>
      <c r="N927" s="28">
        <v>62.106959600000003</v>
      </c>
      <c r="O927" s="28">
        <v>911.74713999999994</v>
      </c>
      <c r="P927" s="28">
        <v>1088.2528600000001</v>
      </c>
    </row>
    <row r="928" spans="1:16" x14ac:dyDescent="0.25">
      <c r="A928" s="40">
        <v>3</v>
      </c>
      <c r="B928" s="40">
        <v>170</v>
      </c>
      <c r="C928" s="28">
        <v>12.4706124</v>
      </c>
      <c r="D928" s="28">
        <v>6.5625773199999999</v>
      </c>
      <c r="E928" s="28">
        <v>32.830511600000001</v>
      </c>
      <c r="F928" s="28">
        <v>23.184038699999999</v>
      </c>
      <c r="G928" s="28">
        <v>18.545694300000001</v>
      </c>
      <c r="H928" s="28">
        <v>64.030755499999998</v>
      </c>
      <c r="I928" s="28">
        <v>50.2772462</v>
      </c>
      <c r="J928" s="28">
        <v>975.54199600000004</v>
      </c>
      <c r="K928" s="28">
        <v>949.83164699999998</v>
      </c>
      <c r="L928" s="28">
        <v>4.9715303999999998</v>
      </c>
      <c r="M928" s="28">
        <v>107.29773</v>
      </c>
      <c r="N928" s="28">
        <v>63.025465199999999</v>
      </c>
      <c r="O928" s="28">
        <v>909.39600800000005</v>
      </c>
      <c r="P928" s="28">
        <v>1090.6039900000001</v>
      </c>
    </row>
    <row r="929" spans="1:16" x14ac:dyDescent="0.25">
      <c r="A929" s="40">
        <v>3</v>
      </c>
      <c r="B929" s="40">
        <v>171</v>
      </c>
      <c r="C929" s="28">
        <v>12.464503300000001</v>
      </c>
      <c r="D929" s="28">
        <v>6.6040772800000003</v>
      </c>
      <c r="E929" s="28">
        <v>32.975397800000003</v>
      </c>
      <c r="F929" s="28">
        <v>23.144867399999999</v>
      </c>
      <c r="G929" s="28">
        <v>18.439495000000001</v>
      </c>
      <c r="H929" s="28">
        <v>64.022396000000001</v>
      </c>
      <c r="I929" s="28">
        <v>49.514721999999999</v>
      </c>
      <c r="J929" s="28">
        <v>977.07710299999997</v>
      </c>
      <c r="K929" s="28">
        <v>950.56888700000002</v>
      </c>
      <c r="L929" s="28">
        <v>4.8819063500000004</v>
      </c>
      <c r="M929" s="28">
        <v>106.45457500000001</v>
      </c>
      <c r="N929" s="28">
        <v>62.884219199999997</v>
      </c>
      <c r="O929" s="28">
        <v>893.00191099999995</v>
      </c>
      <c r="P929" s="28">
        <v>1106.99809</v>
      </c>
    </row>
    <row r="930" spans="1:16" x14ac:dyDescent="0.25">
      <c r="A930" s="40">
        <v>3</v>
      </c>
      <c r="B930" s="40">
        <v>172</v>
      </c>
      <c r="C930" s="28">
        <v>12.38025</v>
      </c>
      <c r="D930" s="28">
        <v>6.6444445600000002</v>
      </c>
      <c r="E930" s="28">
        <v>32.785768699999998</v>
      </c>
      <c r="F930" s="28">
        <v>22.943782200000001</v>
      </c>
      <c r="G930" s="28">
        <v>18.500955999999999</v>
      </c>
      <c r="H930" s="28">
        <v>64.916613999999996</v>
      </c>
      <c r="I930" s="28">
        <v>50.0313084</v>
      </c>
      <c r="J930" s="28">
        <v>976.71074399999998</v>
      </c>
      <c r="K930" s="28">
        <v>952.55301899999995</v>
      </c>
      <c r="L930" s="28">
        <v>4.9270876299999999</v>
      </c>
      <c r="M930" s="28">
        <v>107.160985</v>
      </c>
      <c r="N930" s="28">
        <v>63.651596699999999</v>
      </c>
      <c r="O930" s="28">
        <v>901.26650500000005</v>
      </c>
      <c r="P930" s="28">
        <v>1098.7335</v>
      </c>
    </row>
    <row r="931" spans="1:16" x14ac:dyDescent="0.25">
      <c r="A931" s="40">
        <v>3</v>
      </c>
      <c r="B931" s="40">
        <v>173</v>
      </c>
      <c r="C931" s="28">
        <v>12.545603699999999</v>
      </c>
      <c r="D931" s="28">
        <v>6.6346364299999996</v>
      </c>
      <c r="E931" s="28">
        <v>32.8141113</v>
      </c>
      <c r="F931" s="28">
        <v>23.1926655</v>
      </c>
      <c r="G931" s="28">
        <v>18.619870899999999</v>
      </c>
      <c r="H931" s="28">
        <v>64.991050999999999</v>
      </c>
      <c r="I931" s="28">
        <v>50.931654199999997</v>
      </c>
      <c r="J931" s="28">
        <v>978.37591099999997</v>
      </c>
      <c r="K931" s="28">
        <v>955.77704800000004</v>
      </c>
      <c r="L931" s="28">
        <v>4.9789411000000001</v>
      </c>
      <c r="M931" s="28">
        <v>106.94229799999999</v>
      </c>
      <c r="N931" s="28">
        <v>64.506313399999996</v>
      </c>
      <c r="O931" s="28">
        <v>910.75157899999999</v>
      </c>
      <c r="P931" s="28">
        <v>1089.2484199999999</v>
      </c>
    </row>
    <row r="932" spans="1:16" x14ac:dyDescent="0.25">
      <c r="A932" s="40">
        <v>3</v>
      </c>
      <c r="B932" s="40">
        <v>174</v>
      </c>
      <c r="C932" s="28">
        <v>12.5767522</v>
      </c>
      <c r="D932" s="28">
        <v>6.6878272900000004</v>
      </c>
      <c r="E932" s="28">
        <v>32.9090287</v>
      </c>
      <c r="F932" s="28">
        <v>23.172373700000001</v>
      </c>
      <c r="G932" s="28">
        <v>18.677392699999999</v>
      </c>
      <c r="H932" s="28">
        <v>66.210644200000004</v>
      </c>
      <c r="I932" s="28">
        <v>50.741235799999998</v>
      </c>
      <c r="J932" s="28">
        <v>977.96293000000003</v>
      </c>
      <c r="K932" s="28">
        <v>960.972444</v>
      </c>
      <c r="L932" s="28">
        <v>4.9934461600000004</v>
      </c>
      <c r="M932" s="28">
        <v>107.37859899999999</v>
      </c>
      <c r="N932" s="28">
        <v>65.307203200000004</v>
      </c>
      <c r="O932" s="28">
        <v>913.404856</v>
      </c>
      <c r="P932" s="28">
        <v>1086.5951399999999</v>
      </c>
    </row>
    <row r="933" spans="1:16" x14ac:dyDescent="0.25">
      <c r="A933" s="40">
        <v>3</v>
      </c>
      <c r="B933" s="40">
        <v>175</v>
      </c>
      <c r="C933" s="28">
        <v>12.6423127</v>
      </c>
      <c r="D933" s="28">
        <v>6.7689093400000004</v>
      </c>
      <c r="E933" s="28">
        <v>32.924590700000003</v>
      </c>
      <c r="F933" s="28">
        <v>23.2281476</v>
      </c>
      <c r="G933" s="28">
        <v>18.633801999999999</v>
      </c>
      <c r="H933" s="28">
        <v>66.445140100000003</v>
      </c>
      <c r="I933" s="28">
        <v>50.5901991</v>
      </c>
      <c r="J933" s="28">
        <v>979.745768</v>
      </c>
      <c r="K933" s="28">
        <v>961.90079000000003</v>
      </c>
      <c r="L933" s="28">
        <v>4.9739319899999996</v>
      </c>
      <c r="M933" s="28">
        <v>107.17303</v>
      </c>
      <c r="N933" s="28">
        <v>65.681289399999997</v>
      </c>
      <c r="O933" s="28">
        <v>909.83530900000005</v>
      </c>
      <c r="P933" s="28">
        <v>1090.1646900000001</v>
      </c>
    </row>
    <row r="934" spans="1:16" x14ac:dyDescent="0.25">
      <c r="A934" s="40">
        <v>3</v>
      </c>
      <c r="B934" s="40">
        <v>176</v>
      </c>
      <c r="C934" s="28">
        <v>12.648844800000001</v>
      </c>
      <c r="D934" s="28">
        <v>6.8228271100000004</v>
      </c>
      <c r="E934" s="28">
        <v>32.819726899999999</v>
      </c>
      <c r="F934" s="28">
        <v>23.276237500000001</v>
      </c>
      <c r="G934" s="28">
        <v>18.672394199999999</v>
      </c>
      <c r="H934" s="28">
        <v>67.279890199999997</v>
      </c>
      <c r="I934" s="28">
        <v>50.412353000000003</v>
      </c>
      <c r="J934" s="28">
        <v>979.26657299999999</v>
      </c>
      <c r="K934" s="28">
        <v>962.39632200000005</v>
      </c>
      <c r="L934" s="28">
        <v>5.0361382700000004</v>
      </c>
      <c r="M934" s="28">
        <v>107.862235</v>
      </c>
      <c r="N934" s="28">
        <v>65.664379999999994</v>
      </c>
      <c r="O934" s="28">
        <v>921.21412799999996</v>
      </c>
      <c r="P934" s="28">
        <v>1078.7858699999999</v>
      </c>
    </row>
    <row r="935" spans="1:16" x14ac:dyDescent="0.25">
      <c r="A935" s="40">
        <v>3</v>
      </c>
      <c r="B935" s="40">
        <v>177</v>
      </c>
      <c r="C935" s="28">
        <v>12.724428</v>
      </c>
      <c r="D935" s="28">
        <v>6.7859710900000003</v>
      </c>
      <c r="E935" s="28">
        <v>32.611948699999999</v>
      </c>
      <c r="F935" s="28">
        <v>23.672254500000001</v>
      </c>
      <c r="G935" s="28">
        <v>18.8003529</v>
      </c>
      <c r="H935" s="28">
        <v>66.111027399999998</v>
      </c>
      <c r="I935" s="28">
        <v>49.489816599999997</v>
      </c>
      <c r="J935" s="28">
        <v>980.09559300000001</v>
      </c>
      <c r="K935" s="28">
        <v>961.63849600000003</v>
      </c>
      <c r="L935" s="28">
        <v>5.05276573</v>
      </c>
      <c r="M935" s="28">
        <v>107.88403</v>
      </c>
      <c r="N935" s="28">
        <v>65.527724899999996</v>
      </c>
      <c r="O935" s="28">
        <v>924.25563599999998</v>
      </c>
      <c r="P935" s="28">
        <v>1075.7443599999999</v>
      </c>
    </row>
    <row r="936" spans="1:16" x14ac:dyDescent="0.25">
      <c r="A936" s="40">
        <v>3</v>
      </c>
      <c r="B936" s="40">
        <v>178</v>
      </c>
      <c r="C936" s="28">
        <v>12.7933003</v>
      </c>
      <c r="D936" s="28">
        <v>6.8186628000000002</v>
      </c>
      <c r="E936" s="28">
        <v>32.666689400000003</v>
      </c>
      <c r="F936" s="28">
        <v>23.662285399999998</v>
      </c>
      <c r="G936" s="28">
        <v>18.7690211</v>
      </c>
      <c r="H936" s="28">
        <v>66.174063599999997</v>
      </c>
      <c r="I936" s="28">
        <v>49.975081500000002</v>
      </c>
      <c r="J936" s="28">
        <v>979.19666099999995</v>
      </c>
      <c r="K936" s="28">
        <v>959.28266399999995</v>
      </c>
      <c r="L936" s="28">
        <v>5.0643720999999999</v>
      </c>
      <c r="M936" s="28">
        <v>108.803147</v>
      </c>
      <c r="N936" s="28">
        <v>65.671189299999995</v>
      </c>
      <c r="O936" s="28">
        <v>926.37868100000003</v>
      </c>
      <c r="P936" s="28">
        <v>1073.62132</v>
      </c>
    </row>
    <row r="937" spans="1:16" x14ac:dyDescent="0.25">
      <c r="A937" s="40">
        <v>3</v>
      </c>
      <c r="B937" s="40">
        <v>179</v>
      </c>
      <c r="C937" s="28">
        <v>12.918129199999999</v>
      </c>
      <c r="D937" s="28">
        <v>6.8767050899999997</v>
      </c>
      <c r="E937" s="28">
        <v>32.252727700000001</v>
      </c>
      <c r="F937" s="28">
        <v>24.119159700000001</v>
      </c>
      <c r="G937" s="28">
        <v>19.007626999999999</v>
      </c>
      <c r="H937" s="28">
        <v>65.968278900000001</v>
      </c>
      <c r="I937" s="28">
        <v>49.168818100000003</v>
      </c>
      <c r="J937" s="28">
        <v>980.77291500000001</v>
      </c>
      <c r="K937" s="28">
        <v>958.53342399999997</v>
      </c>
      <c r="L937" s="28">
        <v>5.00829054</v>
      </c>
      <c r="M937" s="28">
        <v>109.089381</v>
      </c>
      <c r="N937" s="28">
        <v>65.166717500000004</v>
      </c>
      <c r="O937" s="28">
        <v>916.12020099999995</v>
      </c>
      <c r="P937" s="28">
        <v>1083.8797999999999</v>
      </c>
    </row>
    <row r="938" spans="1:16" x14ac:dyDescent="0.25">
      <c r="A938" s="40">
        <v>3</v>
      </c>
      <c r="B938" s="40">
        <v>180</v>
      </c>
      <c r="C938" s="28">
        <v>13.0544191</v>
      </c>
      <c r="D938" s="28">
        <v>6.8363068900000004</v>
      </c>
      <c r="E938" s="28">
        <v>31.704303299999999</v>
      </c>
      <c r="F938" s="28">
        <v>23.885149200000001</v>
      </c>
      <c r="G938" s="28">
        <v>18.9816921</v>
      </c>
      <c r="H938" s="28">
        <v>66.126501300000001</v>
      </c>
      <c r="I938" s="28">
        <v>48.497867900000003</v>
      </c>
      <c r="J938" s="28">
        <v>979.181423</v>
      </c>
      <c r="K938" s="28">
        <v>956.543904</v>
      </c>
      <c r="L938" s="28">
        <v>5.0203200299999997</v>
      </c>
      <c r="M938" s="28">
        <v>109.551253</v>
      </c>
      <c r="N938" s="28">
        <v>64.179261699999998</v>
      </c>
      <c r="O938" s="28">
        <v>918.32064400000002</v>
      </c>
      <c r="P938" s="28">
        <v>1081.6793600000001</v>
      </c>
    </row>
    <row r="939" spans="1:16" x14ac:dyDescent="0.25">
      <c r="A939" s="40">
        <v>3</v>
      </c>
      <c r="B939" s="40">
        <v>181</v>
      </c>
      <c r="C939" s="28">
        <v>13.0432676</v>
      </c>
      <c r="D939" s="28">
        <v>6.8601942500000002</v>
      </c>
      <c r="E939" s="28">
        <v>31.997176400000001</v>
      </c>
      <c r="F939" s="28">
        <v>23.958598500000001</v>
      </c>
      <c r="G939" s="28">
        <v>18.862837899999999</v>
      </c>
      <c r="H939" s="28">
        <v>65.730497900000003</v>
      </c>
      <c r="I939" s="28">
        <v>49.745167600000002</v>
      </c>
      <c r="J939" s="28">
        <v>980.84498900000006</v>
      </c>
      <c r="K939" s="28">
        <v>964.85601499999996</v>
      </c>
      <c r="L939" s="28">
        <v>5.0307654499999996</v>
      </c>
      <c r="M939" s="28">
        <v>108.863079</v>
      </c>
      <c r="N939" s="28">
        <v>64.361908900000003</v>
      </c>
      <c r="O939" s="28">
        <v>920.23132799999996</v>
      </c>
      <c r="P939" s="28">
        <v>1079.7686699999999</v>
      </c>
    </row>
    <row r="940" spans="1:16" x14ac:dyDescent="0.25">
      <c r="A940" s="40">
        <v>3</v>
      </c>
      <c r="B940" s="40">
        <v>182</v>
      </c>
      <c r="C940" s="28">
        <v>13.223716</v>
      </c>
      <c r="D940" s="28">
        <v>6.8462529700000001</v>
      </c>
      <c r="E940" s="28">
        <v>31.8060875</v>
      </c>
      <c r="F940" s="28">
        <v>23.927187100000001</v>
      </c>
      <c r="G940" s="28">
        <v>19.0013699</v>
      </c>
      <c r="H940" s="28">
        <v>65.852128899999997</v>
      </c>
      <c r="I940" s="28">
        <v>49.743152700000003</v>
      </c>
      <c r="J940" s="28">
        <v>979.55632200000002</v>
      </c>
      <c r="K940" s="28">
        <v>969.92841899999996</v>
      </c>
      <c r="L940" s="28">
        <v>5.1011615600000004</v>
      </c>
      <c r="M940" s="28">
        <v>108.946341</v>
      </c>
      <c r="N940" s="28">
        <v>65.345056400000004</v>
      </c>
      <c r="O940" s="28">
        <v>933.10823600000003</v>
      </c>
      <c r="P940" s="28">
        <v>1066.89176</v>
      </c>
    </row>
    <row r="941" spans="1:16" x14ac:dyDescent="0.25">
      <c r="A941" s="40">
        <v>3</v>
      </c>
      <c r="B941" s="40">
        <v>183</v>
      </c>
      <c r="C941" s="28">
        <v>13.220733900000001</v>
      </c>
      <c r="D941" s="28">
        <v>6.85610184</v>
      </c>
      <c r="E941" s="28">
        <v>31.4954006</v>
      </c>
      <c r="F941" s="28">
        <v>23.839096600000001</v>
      </c>
      <c r="G941" s="28">
        <v>18.938916500000001</v>
      </c>
      <c r="H941" s="28">
        <v>65.782193300000003</v>
      </c>
      <c r="I941" s="28">
        <v>48.408286099999998</v>
      </c>
      <c r="J941" s="28">
        <v>980.61364300000002</v>
      </c>
      <c r="K941" s="28">
        <v>963.58569699999998</v>
      </c>
      <c r="L941" s="28">
        <v>5.1373859099999999</v>
      </c>
      <c r="M941" s="28">
        <v>108.835993</v>
      </c>
      <c r="N941" s="28">
        <v>65.825159400000004</v>
      </c>
      <c r="O941" s="28">
        <v>939.734421</v>
      </c>
      <c r="P941" s="28">
        <v>1060.26558</v>
      </c>
    </row>
    <row r="942" spans="1:16" x14ac:dyDescent="0.25">
      <c r="A942" s="40">
        <v>3</v>
      </c>
      <c r="B942" s="40">
        <v>184</v>
      </c>
      <c r="C942" s="28">
        <v>13.061136899999999</v>
      </c>
      <c r="D942" s="28">
        <v>6.8027591899999997</v>
      </c>
      <c r="E942" s="28">
        <v>32.001382800000002</v>
      </c>
      <c r="F942" s="28">
        <v>24.022393900000001</v>
      </c>
      <c r="G942" s="28">
        <v>19.0143998</v>
      </c>
      <c r="H942" s="28">
        <v>65.1807132</v>
      </c>
      <c r="I942" s="28">
        <v>49.543224799999997</v>
      </c>
      <c r="J942" s="28">
        <v>980.00974399999996</v>
      </c>
      <c r="K942" s="28">
        <v>967.678856</v>
      </c>
      <c r="L942" s="28">
        <v>5.1286707700000003</v>
      </c>
      <c r="M942" s="28">
        <v>108.353694</v>
      </c>
      <c r="N942" s="28">
        <v>66.2148617</v>
      </c>
      <c r="O942" s="28">
        <v>938.14024099999995</v>
      </c>
      <c r="P942" s="28">
        <v>1061.8597600000001</v>
      </c>
    </row>
    <row r="943" spans="1:16" x14ac:dyDescent="0.25">
      <c r="A943" s="40">
        <v>3</v>
      </c>
      <c r="B943" s="40">
        <v>185</v>
      </c>
      <c r="C943" s="28">
        <v>13.1604995</v>
      </c>
      <c r="D943" s="28">
        <v>6.8673283100000004</v>
      </c>
      <c r="E943" s="28">
        <v>32.079464000000002</v>
      </c>
      <c r="F943" s="28">
        <v>24.044681600000001</v>
      </c>
      <c r="G943" s="28">
        <v>19.140900599999998</v>
      </c>
      <c r="H943" s="28">
        <v>65.898712399999994</v>
      </c>
      <c r="I943" s="28">
        <v>50.5159272</v>
      </c>
      <c r="J943" s="28">
        <v>982.01525300000003</v>
      </c>
      <c r="K943" s="28">
        <v>962.80208100000004</v>
      </c>
      <c r="L943" s="28">
        <v>5.1784981400000003</v>
      </c>
      <c r="M943" s="28">
        <v>110.152552</v>
      </c>
      <c r="N943" s="28">
        <v>66.766348500000007</v>
      </c>
      <c r="O943" s="28">
        <v>947.25469999999996</v>
      </c>
      <c r="P943" s="28">
        <v>1052.7453</v>
      </c>
    </row>
    <row r="944" spans="1:16" x14ac:dyDescent="0.25">
      <c r="A944" s="40">
        <v>3</v>
      </c>
      <c r="B944" s="40">
        <v>186</v>
      </c>
      <c r="C944" s="28">
        <v>13.072052299999999</v>
      </c>
      <c r="D944" s="28">
        <v>6.8457928299999997</v>
      </c>
      <c r="E944" s="28">
        <v>32.001769600000003</v>
      </c>
      <c r="F944" s="28">
        <v>24.482598899999999</v>
      </c>
      <c r="G944" s="28">
        <v>19.3028209</v>
      </c>
      <c r="H944" s="28">
        <v>65.644920400000004</v>
      </c>
      <c r="I944" s="28">
        <v>50.219080300000002</v>
      </c>
      <c r="J944" s="28">
        <v>981.59238500000004</v>
      </c>
      <c r="K944" s="28">
        <v>963.80612399999995</v>
      </c>
      <c r="L944" s="28">
        <v>5.0928318499999996</v>
      </c>
      <c r="M944" s="28">
        <v>110.95358400000001</v>
      </c>
      <c r="N944" s="28">
        <v>68.046947700000004</v>
      </c>
      <c r="O944" s="28">
        <v>931.58456000000001</v>
      </c>
      <c r="P944" s="28">
        <v>1068.41544</v>
      </c>
    </row>
    <row r="945" spans="1:16" x14ac:dyDescent="0.25">
      <c r="A945" s="40">
        <v>3</v>
      </c>
      <c r="B945" s="40">
        <v>187</v>
      </c>
      <c r="C945" s="28">
        <v>13.026784899999999</v>
      </c>
      <c r="D945" s="28">
        <v>6.81366725</v>
      </c>
      <c r="E945" s="28">
        <v>32.0124815</v>
      </c>
      <c r="F945" s="28">
        <v>24.572928900000001</v>
      </c>
      <c r="G945" s="28">
        <v>19.039457899999999</v>
      </c>
      <c r="H945" s="28">
        <v>64.751328400000006</v>
      </c>
      <c r="I945" s="28">
        <v>49.179443999999997</v>
      </c>
      <c r="J945" s="28">
        <v>982.29214300000001</v>
      </c>
      <c r="K945" s="28">
        <v>964.95110199999999</v>
      </c>
      <c r="L945" s="28">
        <v>5.0939914699999997</v>
      </c>
      <c r="M945" s="28">
        <v>111.971608</v>
      </c>
      <c r="N945" s="28">
        <v>67.649848300000002</v>
      </c>
      <c r="O945" s="28">
        <v>931.79667800000004</v>
      </c>
      <c r="P945" s="28">
        <v>1068.2033200000001</v>
      </c>
    </row>
    <row r="946" spans="1:16" x14ac:dyDescent="0.25">
      <c r="A946" s="40">
        <v>3</v>
      </c>
      <c r="B946" s="40">
        <v>188</v>
      </c>
      <c r="C946" s="28">
        <v>13.087861500000001</v>
      </c>
      <c r="D946" s="28">
        <v>6.7237321200000002</v>
      </c>
      <c r="E946" s="28">
        <v>31.7216834</v>
      </c>
      <c r="F946" s="28">
        <v>24.4453596</v>
      </c>
      <c r="G946" s="28">
        <v>18.9412795</v>
      </c>
      <c r="H946" s="28">
        <v>64.624003799999997</v>
      </c>
      <c r="I946" s="28">
        <v>50.372671199999999</v>
      </c>
      <c r="J946" s="28">
        <v>981.27185699999995</v>
      </c>
      <c r="K946" s="28">
        <v>962.24152700000002</v>
      </c>
      <c r="L946" s="28">
        <v>5.1461568399999997</v>
      </c>
      <c r="M946" s="28">
        <v>111.67746699999999</v>
      </c>
      <c r="N946" s="28">
        <v>66.318003099999999</v>
      </c>
      <c r="O946" s="28">
        <v>941.33880699999997</v>
      </c>
      <c r="P946" s="28">
        <v>1058.66119</v>
      </c>
    </row>
    <row r="947" spans="1:16" x14ac:dyDescent="0.25">
      <c r="A947" s="40">
        <v>3</v>
      </c>
      <c r="B947" s="40">
        <v>189</v>
      </c>
      <c r="C947" s="28">
        <v>13.070397099999999</v>
      </c>
      <c r="D947" s="28">
        <v>6.7082724000000002</v>
      </c>
      <c r="E947" s="28">
        <v>31.4533649</v>
      </c>
      <c r="F947" s="28">
        <v>24.759545899999999</v>
      </c>
      <c r="G947" s="28">
        <v>19.061492999999999</v>
      </c>
      <c r="H947" s="28">
        <v>65.254556399999998</v>
      </c>
      <c r="I947" s="28">
        <v>50.905980700000001</v>
      </c>
      <c r="J947" s="28">
        <v>983.44478700000002</v>
      </c>
      <c r="K947" s="28">
        <v>959.55425700000001</v>
      </c>
      <c r="L947" s="28">
        <v>5.1609655500000002</v>
      </c>
      <c r="M947" s="28">
        <v>112.71899000000001</v>
      </c>
      <c r="N947" s="28">
        <v>66.312505400000006</v>
      </c>
      <c r="O947" s="28">
        <v>944.04762600000004</v>
      </c>
      <c r="P947" s="28">
        <v>1055.95237</v>
      </c>
    </row>
    <row r="948" spans="1:16" x14ac:dyDescent="0.25">
      <c r="A948" s="40">
        <v>3</v>
      </c>
      <c r="B948" s="40">
        <v>190</v>
      </c>
      <c r="C948" s="28">
        <v>12.9768349</v>
      </c>
      <c r="D948" s="28">
        <v>6.7674987</v>
      </c>
      <c r="E948" s="28">
        <v>31.351376399999999</v>
      </c>
      <c r="F948" s="28">
        <v>24.752641199999999</v>
      </c>
      <c r="G948" s="28">
        <v>18.775511699999999</v>
      </c>
      <c r="H948" s="28">
        <v>65.5027288</v>
      </c>
      <c r="I948" s="28">
        <v>50.174653599999999</v>
      </c>
      <c r="J948" s="28">
        <v>983.15270099999998</v>
      </c>
      <c r="K948" s="28">
        <v>967.33103900000003</v>
      </c>
      <c r="L948" s="28">
        <v>5.1471575200000004</v>
      </c>
      <c r="M948" s="28">
        <v>111.28409000000001</v>
      </c>
      <c r="N948" s="28">
        <v>66.878258400000007</v>
      </c>
      <c r="O948" s="28">
        <v>941.52185199999997</v>
      </c>
      <c r="P948" s="28">
        <v>1058.4781499999999</v>
      </c>
    </row>
    <row r="949" spans="1:16" x14ac:dyDescent="0.25">
      <c r="A949" s="40">
        <v>3</v>
      </c>
      <c r="B949" s="40">
        <v>191</v>
      </c>
      <c r="C949" s="28">
        <v>12.921339400000001</v>
      </c>
      <c r="D949" s="28">
        <v>6.7360036000000001</v>
      </c>
      <c r="E949" s="28">
        <v>31.417592299999999</v>
      </c>
      <c r="F949" s="28">
        <v>24.906054300000001</v>
      </c>
      <c r="G949" s="28">
        <v>19.0149325</v>
      </c>
      <c r="H949" s="28">
        <v>65.472245200000003</v>
      </c>
      <c r="I949" s="28">
        <v>49.8501002</v>
      </c>
      <c r="J949" s="28">
        <v>984.63961300000005</v>
      </c>
      <c r="K949" s="28">
        <v>967.25952500000005</v>
      </c>
      <c r="L949" s="28">
        <v>5.1407248699999997</v>
      </c>
      <c r="M949" s="28">
        <v>111.377627</v>
      </c>
      <c r="N949" s="28">
        <v>67.890813100000003</v>
      </c>
      <c r="O949" s="28">
        <v>940.34518600000001</v>
      </c>
      <c r="P949" s="28">
        <v>1059.65481</v>
      </c>
    </row>
    <row r="950" spans="1:16" x14ac:dyDescent="0.25">
      <c r="A950" s="40">
        <v>3</v>
      </c>
      <c r="B950" s="40">
        <v>192</v>
      </c>
      <c r="C950" s="28">
        <v>12.977119399999999</v>
      </c>
      <c r="D950" s="28">
        <v>6.70376306</v>
      </c>
      <c r="E950" s="28">
        <v>31.2569889</v>
      </c>
      <c r="F950" s="28">
        <v>24.9867572</v>
      </c>
      <c r="G950" s="28">
        <v>19.237185400000001</v>
      </c>
      <c r="H950" s="28">
        <v>66.682835400000002</v>
      </c>
      <c r="I950" s="28">
        <v>49.855254199999997</v>
      </c>
      <c r="J950" s="28">
        <v>984.64987399999995</v>
      </c>
      <c r="K950" s="28">
        <v>970.32325400000002</v>
      </c>
      <c r="L950" s="28">
        <v>5.1277083699999997</v>
      </c>
      <c r="M950" s="28">
        <v>111.169771</v>
      </c>
      <c r="N950" s="28">
        <v>67.380090999999993</v>
      </c>
      <c r="O950" s="28">
        <v>937.96419800000001</v>
      </c>
      <c r="P950" s="28">
        <v>1062.0358000000001</v>
      </c>
    </row>
    <row r="951" spans="1:16" x14ac:dyDescent="0.25">
      <c r="A951" s="40">
        <v>3</v>
      </c>
      <c r="B951" s="40">
        <v>193</v>
      </c>
      <c r="C951" s="28">
        <v>12.983636799999999</v>
      </c>
      <c r="D951" s="28">
        <v>6.6695714800000001</v>
      </c>
      <c r="E951" s="28">
        <v>31.166045100000002</v>
      </c>
      <c r="F951" s="28">
        <v>24.8457556</v>
      </c>
      <c r="G951" s="28">
        <v>19.140356799999999</v>
      </c>
      <c r="H951" s="28">
        <v>67.079060600000005</v>
      </c>
      <c r="I951" s="28">
        <v>49.415895499999998</v>
      </c>
      <c r="J951" s="28">
        <v>985.86379399999998</v>
      </c>
      <c r="K951" s="28">
        <v>964.76919799999996</v>
      </c>
      <c r="L951" s="28">
        <v>5.2140654599999996</v>
      </c>
      <c r="M951" s="28">
        <v>111.16068</v>
      </c>
      <c r="N951" s="28">
        <v>67.248720000000006</v>
      </c>
      <c r="O951" s="28">
        <v>953.76070100000004</v>
      </c>
      <c r="P951" s="28">
        <v>1046.2393</v>
      </c>
    </row>
    <row r="952" spans="1:16" x14ac:dyDescent="0.25">
      <c r="A952" s="40">
        <v>3</v>
      </c>
      <c r="B952" s="40">
        <v>194</v>
      </c>
      <c r="C952" s="28">
        <v>12.9538536</v>
      </c>
      <c r="D952" s="28">
        <v>6.6783835500000004</v>
      </c>
      <c r="E952" s="28">
        <v>31.2853314</v>
      </c>
      <c r="F952" s="28">
        <v>25.026776600000002</v>
      </c>
      <c r="G952" s="28">
        <v>19.3725506</v>
      </c>
      <c r="H952" s="28">
        <v>67.433696800000007</v>
      </c>
      <c r="I952" s="28">
        <v>48.506965200000003</v>
      </c>
      <c r="J952" s="28">
        <v>985.59212200000002</v>
      </c>
      <c r="K952" s="28">
        <v>957.94996800000001</v>
      </c>
      <c r="L952" s="28">
        <v>5.2822934899999998</v>
      </c>
      <c r="M952" s="28">
        <v>111.32196999999999</v>
      </c>
      <c r="N952" s="28">
        <v>67.930037799999994</v>
      </c>
      <c r="O952" s="28">
        <v>966.24102200000004</v>
      </c>
      <c r="P952" s="28">
        <v>1033.7589800000001</v>
      </c>
    </row>
    <row r="953" spans="1:16" x14ac:dyDescent="0.25">
      <c r="A953" s="40">
        <v>3</v>
      </c>
      <c r="B953" s="40">
        <v>195</v>
      </c>
      <c r="C953" s="28">
        <v>13.1355074</v>
      </c>
      <c r="D953" s="28">
        <v>6.7446886399999997</v>
      </c>
      <c r="E953" s="28">
        <v>31.231027000000001</v>
      </c>
      <c r="F953" s="28">
        <v>25.290759000000001</v>
      </c>
      <c r="G953" s="28">
        <v>19.7155807</v>
      </c>
      <c r="H953" s="28">
        <v>68.288935600000002</v>
      </c>
      <c r="I953" s="28">
        <v>48.785334599999999</v>
      </c>
      <c r="J953" s="28">
        <v>987.43147499999998</v>
      </c>
      <c r="K953" s="28">
        <v>957.34503299999994</v>
      </c>
      <c r="L953" s="28">
        <v>5.2891255299999997</v>
      </c>
      <c r="M953" s="28">
        <v>112.50859800000001</v>
      </c>
      <c r="N953" s="28">
        <v>67.555819600000007</v>
      </c>
      <c r="O953" s="28">
        <v>967.49074499999995</v>
      </c>
      <c r="P953" s="28">
        <v>1032.50926</v>
      </c>
    </row>
    <row r="954" spans="1:16" x14ac:dyDescent="0.25">
      <c r="A954" s="40">
        <v>3</v>
      </c>
      <c r="B954" s="40">
        <v>196</v>
      </c>
      <c r="C954" s="28">
        <v>13.167316899999999</v>
      </c>
      <c r="D954" s="28">
        <v>6.7989411300000002</v>
      </c>
      <c r="E954" s="28">
        <v>31.215931000000001</v>
      </c>
      <c r="F954" s="28">
        <v>24.896727200000001</v>
      </c>
      <c r="G954" s="28">
        <v>19.762894899999999</v>
      </c>
      <c r="H954" s="28">
        <v>68.013463999999999</v>
      </c>
      <c r="I954" s="28">
        <v>48.724711200000002</v>
      </c>
      <c r="J954" s="28">
        <v>986.53222200000005</v>
      </c>
      <c r="K954" s="28">
        <v>959.84368199999994</v>
      </c>
      <c r="L954" s="28">
        <v>5.39208249</v>
      </c>
      <c r="M954" s="28">
        <v>111.82730599999999</v>
      </c>
      <c r="N954" s="28">
        <v>67.291252700000001</v>
      </c>
      <c r="O954" s="28">
        <v>986.32370800000001</v>
      </c>
      <c r="P954" s="28">
        <v>1013.67629</v>
      </c>
    </row>
    <row r="955" spans="1:16" x14ac:dyDescent="0.25">
      <c r="A955" s="40">
        <v>3</v>
      </c>
      <c r="B955" s="40">
        <v>197</v>
      </c>
      <c r="C955" s="28">
        <v>13.3385503</v>
      </c>
      <c r="D955" s="28">
        <v>6.7472525000000001</v>
      </c>
      <c r="E955" s="28">
        <v>31.389494800000001</v>
      </c>
      <c r="F955" s="28">
        <v>24.9136019</v>
      </c>
      <c r="G955" s="28">
        <v>19.836259800000001</v>
      </c>
      <c r="H955" s="28">
        <v>67.173893500000005</v>
      </c>
      <c r="I955" s="28">
        <v>49.049799999999998</v>
      </c>
      <c r="J955" s="28">
        <v>986.86622199999999</v>
      </c>
      <c r="K955" s="28">
        <v>952.13485800000001</v>
      </c>
      <c r="L955" s="28">
        <v>5.2689764800000001</v>
      </c>
      <c r="M955" s="28">
        <v>112.330288</v>
      </c>
      <c r="N955" s="28">
        <v>68.271518599999993</v>
      </c>
      <c r="O955" s="28">
        <v>963.80506500000001</v>
      </c>
      <c r="P955" s="28">
        <v>1036.1949400000001</v>
      </c>
    </row>
    <row r="956" spans="1:16" x14ac:dyDescent="0.25">
      <c r="A956" s="40">
        <v>3</v>
      </c>
      <c r="B956" s="40">
        <v>198</v>
      </c>
      <c r="C956" s="28">
        <v>13.4091267</v>
      </c>
      <c r="D956" s="28">
        <v>6.7352859199999999</v>
      </c>
      <c r="E956" s="28">
        <v>31.244367499999999</v>
      </c>
      <c r="F956" s="28">
        <v>24.981430400000001</v>
      </c>
      <c r="G956" s="28">
        <v>20.215310500000001</v>
      </c>
      <c r="H956" s="28">
        <v>67.232144199999993</v>
      </c>
      <c r="I956" s="28">
        <v>47.2885329</v>
      </c>
      <c r="J956" s="28">
        <v>985.93112499999995</v>
      </c>
      <c r="K956" s="28">
        <v>950.92845699999998</v>
      </c>
      <c r="L956" s="28">
        <v>5.37006798</v>
      </c>
      <c r="M956" s="28">
        <v>111.884074</v>
      </c>
      <c r="N956" s="28">
        <v>67.148279099999996</v>
      </c>
      <c r="O956" s="28">
        <v>982.29679799999997</v>
      </c>
      <c r="P956" s="28">
        <v>1017.7032</v>
      </c>
    </row>
    <row r="957" spans="1:16" x14ac:dyDescent="0.25">
      <c r="A957" s="40">
        <v>3</v>
      </c>
      <c r="B957" s="40">
        <v>199</v>
      </c>
      <c r="C957" s="28">
        <v>13.388524500000001</v>
      </c>
      <c r="D957" s="28">
        <v>6.7900670700000001</v>
      </c>
      <c r="E957" s="28">
        <v>31.430232400000001</v>
      </c>
      <c r="F957" s="28">
        <v>24.8063781</v>
      </c>
      <c r="G957" s="28">
        <v>20.595163299999999</v>
      </c>
      <c r="H957" s="28">
        <v>66.771861299999998</v>
      </c>
      <c r="I957" s="28">
        <v>46.736303800000002</v>
      </c>
      <c r="J957" s="28">
        <v>986.86375999999996</v>
      </c>
      <c r="K957" s="28">
        <v>948.84229300000004</v>
      </c>
      <c r="L957" s="28">
        <v>5.3895457599999999</v>
      </c>
      <c r="M957" s="28">
        <v>112.099502</v>
      </c>
      <c r="N957" s="28">
        <v>67.643166100000002</v>
      </c>
      <c r="O957" s="28">
        <v>985.85968700000001</v>
      </c>
      <c r="P957" s="28">
        <v>1014.14031</v>
      </c>
    </row>
    <row r="958" spans="1:16" x14ac:dyDescent="0.25">
      <c r="A958" s="40">
        <v>3</v>
      </c>
      <c r="B958" s="40">
        <v>200</v>
      </c>
      <c r="C958" s="28">
        <v>13.407067899999999</v>
      </c>
      <c r="D958" s="28">
        <v>6.8100626000000002</v>
      </c>
      <c r="E958" s="28">
        <v>31.653419800000002</v>
      </c>
      <c r="F958" s="28">
        <v>24.936205600000001</v>
      </c>
      <c r="G958" s="28">
        <v>20.648013899999999</v>
      </c>
      <c r="H958" s="28">
        <v>66.003150000000005</v>
      </c>
      <c r="I958" s="28">
        <v>46.189274900000001</v>
      </c>
      <c r="J958" s="28">
        <v>985.94920400000001</v>
      </c>
      <c r="K958" s="28">
        <v>957.48495700000001</v>
      </c>
      <c r="L958" s="28">
        <v>5.4202710500000002</v>
      </c>
      <c r="M958" s="28">
        <v>113.463326</v>
      </c>
      <c r="N958" s="28">
        <v>68.919144500000002</v>
      </c>
      <c r="O958" s="28">
        <v>991.47997899999996</v>
      </c>
      <c r="P958" s="28">
        <v>1008.52002</v>
      </c>
    </row>
    <row r="959" spans="1:16" x14ac:dyDescent="0.25">
      <c r="A959" s="40">
        <v>3</v>
      </c>
      <c r="B959" s="40">
        <v>201</v>
      </c>
      <c r="C959" s="28">
        <v>13.4035098</v>
      </c>
      <c r="D959" s="28">
        <v>6.7674648900000003</v>
      </c>
      <c r="E959" s="28">
        <v>31.715088699999999</v>
      </c>
      <c r="F959" s="28">
        <v>24.869045100000001</v>
      </c>
      <c r="G959" s="28">
        <v>20.492886299999999</v>
      </c>
      <c r="H959" s="28">
        <v>66.285747599999993</v>
      </c>
      <c r="I959" s="28">
        <v>46.0761678</v>
      </c>
      <c r="J959" s="28">
        <v>987.06906900000001</v>
      </c>
      <c r="K959" s="28">
        <v>956.69515100000001</v>
      </c>
      <c r="L959" s="28">
        <v>5.4588209399999998</v>
      </c>
      <c r="M959" s="28">
        <v>112.70622400000001</v>
      </c>
      <c r="N959" s="28">
        <v>66.719436900000005</v>
      </c>
      <c r="O959" s="28">
        <v>998.53155400000003</v>
      </c>
      <c r="P959" s="28">
        <v>1001.46845</v>
      </c>
    </row>
    <row r="960" spans="1:16" x14ac:dyDescent="0.25">
      <c r="A960" s="40">
        <v>3</v>
      </c>
      <c r="B960" s="40">
        <v>202</v>
      </c>
      <c r="C960" s="28">
        <v>13.409055</v>
      </c>
      <c r="D960" s="28">
        <v>6.6969174699999998</v>
      </c>
      <c r="E960" s="28">
        <v>32.006009599999999</v>
      </c>
      <c r="F960" s="28">
        <v>24.745531100000001</v>
      </c>
      <c r="G960" s="28">
        <v>20.319928699999998</v>
      </c>
      <c r="H960" s="28">
        <v>65.831634399999999</v>
      </c>
      <c r="I960" s="28">
        <v>46.738490599999999</v>
      </c>
      <c r="J960" s="28">
        <v>986.20091000000002</v>
      </c>
      <c r="K960" s="28">
        <v>957.81760599999996</v>
      </c>
      <c r="L960" s="28">
        <v>5.5243819900000002</v>
      </c>
      <c r="M960" s="28">
        <v>112.197383</v>
      </c>
      <c r="N960" s="28">
        <v>65.216657699999999</v>
      </c>
      <c r="O960" s="28">
        <v>1010.52403</v>
      </c>
      <c r="P960" s="28">
        <v>989.47597099999996</v>
      </c>
    </row>
    <row r="961" spans="1:16" x14ac:dyDescent="0.25">
      <c r="A961" s="40">
        <v>3</v>
      </c>
      <c r="B961" s="40">
        <v>203</v>
      </c>
      <c r="C961" s="28">
        <v>13.50259</v>
      </c>
      <c r="D961" s="28">
        <v>6.6780784799999999</v>
      </c>
      <c r="E961" s="28">
        <v>32.132857199999997</v>
      </c>
      <c r="F961" s="28">
        <v>25.004757999999999</v>
      </c>
      <c r="G961" s="28">
        <v>19.950515599999999</v>
      </c>
      <c r="H961" s="28">
        <v>65.073502500000004</v>
      </c>
      <c r="I961" s="28">
        <v>46.959729600000003</v>
      </c>
      <c r="J961" s="28">
        <v>986.89836300000002</v>
      </c>
      <c r="K961" s="28">
        <v>951.30445899999995</v>
      </c>
      <c r="L961" s="28">
        <v>5.5322101100000003</v>
      </c>
      <c r="M961" s="28">
        <v>112.292556</v>
      </c>
      <c r="N961" s="28">
        <v>65.928373300000004</v>
      </c>
      <c r="O961" s="28">
        <v>1011.95595</v>
      </c>
      <c r="P961" s="28">
        <v>988.04404499999998</v>
      </c>
    </row>
    <row r="962" spans="1:16" x14ac:dyDescent="0.25">
      <c r="A962" s="40">
        <v>3</v>
      </c>
      <c r="B962" s="40">
        <v>204</v>
      </c>
      <c r="C962" s="28">
        <v>13.4869308</v>
      </c>
      <c r="D962" s="28">
        <v>6.6266133099999998</v>
      </c>
      <c r="E962" s="28">
        <v>32.099241300000003</v>
      </c>
      <c r="F962" s="28">
        <v>24.799417800000001</v>
      </c>
      <c r="G962" s="28">
        <v>19.963268800000002</v>
      </c>
      <c r="H962" s="28">
        <v>65.234652400000002</v>
      </c>
      <c r="I962" s="28">
        <v>46.483386400000001</v>
      </c>
      <c r="J962" s="28">
        <v>986.19576800000004</v>
      </c>
      <c r="K962" s="28">
        <v>955.151657</v>
      </c>
      <c r="L962" s="28">
        <v>5.5836033699999996</v>
      </c>
      <c r="M962" s="28">
        <v>112.142999</v>
      </c>
      <c r="N962" s="28">
        <v>66.675017499999996</v>
      </c>
      <c r="O962" s="28">
        <v>1021.35685</v>
      </c>
      <c r="P962" s="28">
        <v>978.64315199999999</v>
      </c>
    </row>
    <row r="963" spans="1:16" x14ac:dyDescent="0.25">
      <c r="A963" s="40">
        <v>3</v>
      </c>
      <c r="B963" s="40">
        <v>205</v>
      </c>
      <c r="C963" s="28">
        <v>13.4831445</v>
      </c>
      <c r="D963" s="28">
        <v>6.6385805199999997</v>
      </c>
      <c r="E963" s="28">
        <v>32.075135799999998</v>
      </c>
      <c r="F963" s="28">
        <v>24.777995499999999</v>
      </c>
      <c r="G963" s="28">
        <v>19.963976899999999</v>
      </c>
      <c r="H963" s="28">
        <v>65.310556000000005</v>
      </c>
      <c r="I963" s="28">
        <v>46.298111800000001</v>
      </c>
      <c r="J963" s="28">
        <v>987.38925600000005</v>
      </c>
      <c r="K963" s="28">
        <v>947.50044200000002</v>
      </c>
      <c r="L963" s="28">
        <v>5.5621645700000002</v>
      </c>
      <c r="M963" s="28">
        <v>112.569529</v>
      </c>
      <c r="N963" s="28">
        <v>66.395556299999996</v>
      </c>
      <c r="O963" s="28">
        <v>1017.43525</v>
      </c>
      <c r="P963" s="28">
        <v>982.564752</v>
      </c>
    </row>
    <row r="964" spans="1:16" x14ac:dyDescent="0.25">
      <c r="A964" s="40">
        <v>3</v>
      </c>
      <c r="B964" s="40">
        <v>206</v>
      </c>
      <c r="C964" s="28">
        <v>13.4245261</v>
      </c>
      <c r="D964" s="28">
        <v>6.7068474599999996</v>
      </c>
      <c r="E964" s="28">
        <v>32.040076599999999</v>
      </c>
      <c r="F964" s="28">
        <v>24.877661</v>
      </c>
      <c r="G964" s="28">
        <v>19.5386983</v>
      </c>
      <c r="H964" s="28">
        <v>65.123446099999995</v>
      </c>
      <c r="I964" s="28">
        <v>46.488005800000003</v>
      </c>
      <c r="J964" s="28">
        <v>987.27038900000002</v>
      </c>
      <c r="K964" s="28">
        <v>947.57906700000001</v>
      </c>
      <c r="L964" s="28">
        <v>5.57207089</v>
      </c>
      <c r="M964" s="28">
        <v>112.632036</v>
      </c>
      <c r="N964" s="28">
        <v>67.728273000000002</v>
      </c>
      <c r="O964" s="28">
        <v>1019.2473199999999</v>
      </c>
      <c r="P964" s="28">
        <v>980.75268200000005</v>
      </c>
    </row>
    <row r="965" spans="1:16" x14ac:dyDescent="0.25">
      <c r="A965" s="40">
        <v>3</v>
      </c>
      <c r="B965" s="40">
        <v>207</v>
      </c>
      <c r="C965" s="28">
        <v>13.4828625</v>
      </c>
      <c r="D965" s="28">
        <v>6.7129999199999997</v>
      </c>
      <c r="E965" s="28">
        <v>32.492128999999998</v>
      </c>
      <c r="F965" s="28">
        <v>24.880717799999999</v>
      </c>
      <c r="G965" s="28">
        <v>19.6834156</v>
      </c>
      <c r="H965" s="28">
        <v>65.559224499999999</v>
      </c>
      <c r="I965" s="28">
        <v>47.0681552</v>
      </c>
      <c r="J965" s="28">
        <v>988.67079699999999</v>
      </c>
      <c r="K965" s="28">
        <v>946.89958300000001</v>
      </c>
      <c r="L965" s="28">
        <v>5.6414582800000002</v>
      </c>
      <c r="M965" s="28">
        <v>112.923748</v>
      </c>
      <c r="N965" s="28">
        <v>67.437042099999999</v>
      </c>
      <c r="O965" s="28">
        <v>1031.9397100000001</v>
      </c>
      <c r="P965" s="28">
        <v>968.06028800000001</v>
      </c>
    </row>
    <row r="966" spans="1:16" x14ac:dyDescent="0.25">
      <c r="A966" s="40">
        <v>3</v>
      </c>
      <c r="B966" s="40">
        <v>208</v>
      </c>
      <c r="C966" s="28">
        <v>13.519724500000001</v>
      </c>
      <c r="D966" s="28">
        <v>6.7507429200000004</v>
      </c>
      <c r="E966" s="28">
        <v>32.602421200000002</v>
      </c>
      <c r="F966" s="28">
        <v>24.8719885</v>
      </c>
      <c r="G966" s="28">
        <v>19.6229455</v>
      </c>
      <c r="H966" s="28">
        <v>65.38888</v>
      </c>
      <c r="I966" s="28">
        <v>47.506184599999997</v>
      </c>
      <c r="J966" s="28">
        <v>988.28773699999999</v>
      </c>
      <c r="K966" s="28">
        <v>947.55905499999994</v>
      </c>
      <c r="L966" s="28">
        <v>5.6106901200000001</v>
      </c>
      <c r="M966" s="28">
        <v>112.11060000000001</v>
      </c>
      <c r="N966" s="28">
        <v>65.556620499999994</v>
      </c>
      <c r="O966" s="28">
        <v>1026.31158</v>
      </c>
      <c r="P966" s="28">
        <v>973.68842299999994</v>
      </c>
    </row>
    <row r="967" spans="1:16" x14ac:dyDescent="0.25">
      <c r="A967" s="40">
        <v>3</v>
      </c>
      <c r="B967" s="40">
        <v>209</v>
      </c>
      <c r="C967" s="28">
        <v>13.674803499999999</v>
      </c>
      <c r="D967" s="28">
        <v>6.7318475500000003</v>
      </c>
      <c r="E967" s="28">
        <v>32.692412699999998</v>
      </c>
      <c r="F967" s="28">
        <v>25.0783776</v>
      </c>
      <c r="G967" s="28">
        <v>19.923305599999999</v>
      </c>
      <c r="H967" s="28">
        <v>65.447038000000006</v>
      </c>
      <c r="I967" s="28">
        <v>47.748631400000001</v>
      </c>
      <c r="J967" s="28">
        <v>989.27729799999997</v>
      </c>
      <c r="K967" s="28">
        <v>954.32686200000001</v>
      </c>
      <c r="L967" s="28">
        <v>5.65069614</v>
      </c>
      <c r="M967" s="28">
        <v>113.083669</v>
      </c>
      <c r="N967" s="28">
        <v>64.956122399999998</v>
      </c>
      <c r="O967" s="28">
        <v>1033.62951</v>
      </c>
      <c r="P967" s="28">
        <v>966.37049200000001</v>
      </c>
    </row>
    <row r="968" spans="1:16" x14ac:dyDescent="0.25">
      <c r="A968" s="40">
        <v>3</v>
      </c>
      <c r="B968" s="40">
        <v>210</v>
      </c>
      <c r="C968" s="28">
        <v>13.8685986</v>
      </c>
      <c r="D968" s="28">
        <v>6.6945702000000002</v>
      </c>
      <c r="E968" s="28">
        <v>32.847436399999999</v>
      </c>
      <c r="F968" s="28">
        <v>24.834375600000001</v>
      </c>
      <c r="G968" s="28">
        <v>19.464957699999999</v>
      </c>
      <c r="H968" s="28">
        <v>64.799578699999998</v>
      </c>
      <c r="I968" s="28">
        <v>48.675843800000003</v>
      </c>
      <c r="J968" s="28">
        <v>987.92348900000002</v>
      </c>
      <c r="K968" s="28">
        <v>954.58134399999994</v>
      </c>
      <c r="L968" s="28">
        <v>5.7493904699999998</v>
      </c>
      <c r="M968" s="28">
        <v>112.215926</v>
      </c>
      <c r="N968" s="28">
        <v>66.033491900000001</v>
      </c>
      <c r="O968" s="28">
        <v>1051.6827499999999</v>
      </c>
      <c r="P968" s="28">
        <v>948.31725200000005</v>
      </c>
    </row>
    <row r="969" spans="1:16" x14ac:dyDescent="0.25">
      <c r="A969" s="40">
        <v>3</v>
      </c>
      <c r="B969" s="40">
        <v>211</v>
      </c>
      <c r="C969" s="28">
        <v>13.8992019</v>
      </c>
      <c r="D969" s="28">
        <v>6.6705083500000004</v>
      </c>
      <c r="E969" s="28">
        <v>32.537705799999998</v>
      </c>
      <c r="F969" s="28">
        <v>24.9643841</v>
      </c>
      <c r="G969" s="28">
        <v>19.389383500000001</v>
      </c>
      <c r="H969" s="28">
        <v>64.592006100000006</v>
      </c>
      <c r="I969" s="28">
        <v>48.129375000000003</v>
      </c>
      <c r="J969" s="28">
        <v>988.68993699999999</v>
      </c>
      <c r="K969" s="28">
        <v>959.36643800000002</v>
      </c>
      <c r="L969" s="28">
        <v>5.6694513200000003</v>
      </c>
      <c r="M969" s="28">
        <v>112.582245</v>
      </c>
      <c r="N969" s="28">
        <v>64.736008999999996</v>
      </c>
      <c r="O969" s="28">
        <v>1037.0602200000001</v>
      </c>
      <c r="P969" s="28">
        <v>962.93978200000004</v>
      </c>
    </row>
    <row r="970" spans="1:16" x14ac:dyDescent="0.25">
      <c r="A970" s="40">
        <v>3</v>
      </c>
      <c r="B970" s="40">
        <v>212</v>
      </c>
      <c r="C970" s="28">
        <v>13.909168599999999</v>
      </c>
      <c r="D970" s="28">
        <v>6.7011057300000001</v>
      </c>
      <c r="E970" s="28">
        <v>32.7402461</v>
      </c>
      <c r="F970" s="28">
        <v>25.002441900000001</v>
      </c>
      <c r="G970" s="28">
        <v>19.467590600000001</v>
      </c>
      <c r="H970" s="28">
        <v>64.501080099999996</v>
      </c>
      <c r="I970" s="28">
        <v>48.618873499999999</v>
      </c>
      <c r="J970" s="28">
        <v>988.47664299999997</v>
      </c>
      <c r="K970" s="28">
        <v>960.81592799999999</v>
      </c>
      <c r="L970" s="28">
        <v>5.6299828500000002</v>
      </c>
      <c r="M970" s="28">
        <v>113.76411299999999</v>
      </c>
      <c r="N970" s="28">
        <v>67.037493600000005</v>
      </c>
      <c r="O970" s="28">
        <v>1029.8406199999999</v>
      </c>
      <c r="P970" s="28">
        <v>970.15938400000005</v>
      </c>
    </row>
    <row r="971" spans="1:16" x14ac:dyDescent="0.25">
      <c r="A971" s="40">
        <v>3</v>
      </c>
      <c r="B971" s="40">
        <v>213</v>
      </c>
      <c r="C971" s="28">
        <v>14.0027568</v>
      </c>
      <c r="D971" s="28">
        <v>6.7492357299999997</v>
      </c>
      <c r="E971" s="28">
        <v>33.221307899999999</v>
      </c>
      <c r="F971" s="28">
        <v>25.123716000000002</v>
      </c>
      <c r="G971" s="28">
        <v>19.546929599999999</v>
      </c>
      <c r="H971" s="28">
        <v>65.439603500000004</v>
      </c>
      <c r="I971" s="28">
        <v>47.544035200000003</v>
      </c>
      <c r="J971" s="28">
        <v>989.64237200000002</v>
      </c>
      <c r="K971" s="28">
        <v>961.20728799999995</v>
      </c>
      <c r="L971" s="28">
        <v>5.6165650600000001</v>
      </c>
      <c r="M971" s="28">
        <v>113.761959</v>
      </c>
      <c r="N971" s="28">
        <v>66.622618000000003</v>
      </c>
      <c r="O971" s="28">
        <v>1027.3862300000001</v>
      </c>
      <c r="P971" s="28">
        <v>972.61377500000003</v>
      </c>
    </row>
    <row r="972" spans="1:16" x14ac:dyDescent="0.25">
      <c r="A972" s="40">
        <v>3</v>
      </c>
      <c r="B972" s="40">
        <v>214</v>
      </c>
      <c r="C972" s="28">
        <v>13.9390315</v>
      </c>
      <c r="D972" s="28">
        <v>6.7005845800000001</v>
      </c>
      <c r="E972" s="28">
        <v>33.060111399999997</v>
      </c>
      <c r="F972" s="28">
        <v>25.118930299999999</v>
      </c>
      <c r="G972" s="28">
        <v>19.4818204</v>
      </c>
      <c r="H972" s="28">
        <v>65.760988999999995</v>
      </c>
      <c r="I972" s="28">
        <v>47.851416299999997</v>
      </c>
      <c r="J972" s="28">
        <v>989.548225</v>
      </c>
      <c r="K972" s="28">
        <v>962.45882099999994</v>
      </c>
      <c r="L972" s="28">
        <v>5.6122753699999999</v>
      </c>
      <c r="M972" s="28">
        <v>114.071234</v>
      </c>
      <c r="N972" s="28">
        <v>67.696036399999997</v>
      </c>
      <c r="O972" s="28">
        <v>1026.6015500000001</v>
      </c>
      <c r="P972" s="28">
        <v>973.39844800000003</v>
      </c>
    </row>
    <row r="973" spans="1:16" x14ac:dyDescent="0.25">
      <c r="A973" s="40">
        <v>3</v>
      </c>
      <c r="B973" s="40">
        <v>215</v>
      </c>
      <c r="C973" s="28">
        <v>13.978189499999999</v>
      </c>
      <c r="D973" s="28">
        <v>6.7625416200000004</v>
      </c>
      <c r="E973" s="28">
        <v>33.155599100000003</v>
      </c>
      <c r="F973" s="28">
        <v>25.052472699999999</v>
      </c>
      <c r="G973" s="28">
        <v>19.1388073</v>
      </c>
      <c r="H973" s="28">
        <v>64.721747500000006</v>
      </c>
      <c r="I973" s="28">
        <v>47.0555381</v>
      </c>
      <c r="J973" s="28">
        <v>989.538768</v>
      </c>
      <c r="K973" s="28">
        <v>960.97397000000001</v>
      </c>
      <c r="L973" s="28">
        <v>5.6159462199999997</v>
      </c>
      <c r="M973" s="28">
        <v>114.43772300000001</v>
      </c>
      <c r="N973" s="28">
        <v>67.524974799999995</v>
      </c>
      <c r="O973" s="28">
        <v>1027.2730300000001</v>
      </c>
      <c r="P973" s="28">
        <v>972.72697300000004</v>
      </c>
    </row>
    <row r="974" spans="1:16" x14ac:dyDescent="0.25">
      <c r="A974" s="40">
        <v>3</v>
      </c>
      <c r="B974" s="40">
        <v>216</v>
      </c>
      <c r="C974" s="28">
        <v>14.014981000000001</v>
      </c>
      <c r="D974" s="28">
        <v>6.6982632899999999</v>
      </c>
      <c r="E974" s="28">
        <v>32.791965500000003</v>
      </c>
      <c r="F974" s="28">
        <v>24.665596699999998</v>
      </c>
      <c r="G974" s="28">
        <v>18.8217836</v>
      </c>
      <c r="H974" s="28">
        <v>65.012885100000005</v>
      </c>
      <c r="I974" s="28">
        <v>46.715566500000001</v>
      </c>
      <c r="J974" s="28">
        <v>988.68283499999995</v>
      </c>
      <c r="K974" s="28">
        <v>968.76269400000001</v>
      </c>
      <c r="L974" s="28">
        <v>5.60226617</v>
      </c>
      <c r="M974" s="28">
        <v>114.843439</v>
      </c>
      <c r="N974" s="28">
        <v>66.835391599999994</v>
      </c>
      <c r="O974" s="28">
        <v>1024.7706599999999</v>
      </c>
      <c r="P974" s="28">
        <v>975.22933899999998</v>
      </c>
    </row>
    <row r="975" spans="1:16" x14ac:dyDescent="0.25">
      <c r="A975" s="40">
        <v>3</v>
      </c>
      <c r="B975" s="40">
        <v>217</v>
      </c>
      <c r="C975" s="28">
        <v>14.0352993</v>
      </c>
      <c r="D975" s="28">
        <v>6.7542294099999998</v>
      </c>
      <c r="E975" s="28">
        <v>32.639730999999998</v>
      </c>
      <c r="F975" s="28">
        <v>24.529624699999999</v>
      </c>
      <c r="G975" s="28">
        <v>18.784340499999999</v>
      </c>
      <c r="H975" s="28">
        <v>64.756001299999994</v>
      </c>
      <c r="I975" s="28">
        <v>47.235031200000002</v>
      </c>
      <c r="J975" s="28">
        <v>989.39257599999996</v>
      </c>
      <c r="K975" s="28">
        <v>974.821957</v>
      </c>
      <c r="L975" s="28">
        <v>5.5422285699999998</v>
      </c>
      <c r="M975" s="28">
        <v>115.654886</v>
      </c>
      <c r="N975" s="28">
        <v>67.106155299999998</v>
      </c>
      <c r="O975" s="28">
        <v>1013.78854</v>
      </c>
      <c r="P975" s="28">
        <v>986.21145999999999</v>
      </c>
    </row>
    <row r="976" spans="1:16" x14ac:dyDescent="0.25">
      <c r="A976" s="40">
        <v>3</v>
      </c>
      <c r="B976" s="40">
        <v>218</v>
      </c>
      <c r="C976" s="28">
        <v>13.9038149</v>
      </c>
      <c r="D976" s="28">
        <v>6.7813760299999997</v>
      </c>
      <c r="E976" s="28">
        <v>32.2729249</v>
      </c>
      <c r="F976" s="28">
        <v>24.634059400000002</v>
      </c>
      <c r="G976" s="28">
        <v>18.858405900000001</v>
      </c>
      <c r="H976" s="28">
        <v>64.605965400000002</v>
      </c>
      <c r="I976" s="28">
        <v>48.211779300000003</v>
      </c>
      <c r="J976" s="28">
        <v>989.77799100000004</v>
      </c>
      <c r="K976" s="28">
        <v>969.32698500000004</v>
      </c>
      <c r="L976" s="28">
        <v>5.6028268399999996</v>
      </c>
      <c r="M976" s="28">
        <v>116.703999</v>
      </c>
      <c r="N976" s="28">
        <v>66.398432799999995</v>
      </c>
      <c r="O976" s="28">
        <v>1024.8732199999999</v>
      </c>
      <c r="P976" s="28">
        <v>975.12677900000006</v>
      </c>
    </row>
    <row r="977" spans="1:16" x14ac:dyDescent="0.25">
      <c r="A977" s="40">
        <v>3</v>
      </c>
      <c r="B977" s="40">
        <v>219</v>
      </c>
      <c r="C977" s="28">
        <v>13.8684338</v>
      </c>
      <c r="D977" s="28">
        <v>6.7432899700000002</v>
      </c>
      <c r="E977" s="28">
        <v>32.124587699999999</v>
      </c>
      <c r="F977" s="28">
        <v>24.682532900000002</v>
      </c>
      <c r="G977" s="28">
        <v>18.9615887</v>
      </c>
      <c r="H977" s="28">
        <v>64.6772244</v>
      </c>
      <c r="I977" s="28">
        <v>48.328251700000003</v>
      </c>
      <c r="J977" s="28">
        <v>990.56753800000001</v>
      </c>
      <c r="K977" s="28">
        <v>968.44061299999998</v>
      </c>
      <c r="L977" s="28">
        <v>5.6633258599999996</v>
      </c>
      <c r="M977" s="28">
        <v>116.989091</v>
      </c>
      <c r="N977" s="28">
        <v>65.842379600000001</v>
      </c>
      <c r="O977" s="28">
        <v>1035.93975</v>
      </c>
      <c r="P977" s="28">
        <v>964.06025499999998</v>
      </c>
    </row>
    <row r="978" spans="1:16" x14ac:dyDescent="0.25">
      <c r="A978" s="40">
        <v>3</v>
      </c>
      <c r="B978" s="40">
        <v>220</v>
      </c>
      <c r="C978" s="28">
        <v>13.883860200000001</v>
      </c>
      <c r="D978" s="28">
        <v>6.7762725499999998</v>
      </c>
      <c r="E978" s="28">
        <v>32.056958600000002</v>
      </c>
      <c r="F978" s="28">
        <v>24.473741100000002</v>
      </c>
      <c r="G978" s="28">
        <v>18.866017200000002</v>
      </c>
      <c r="H978" s="28">
        <v>64.366876899999994</v>
      </c>
      <c r="I978" s="28">
        <v>49.049730799999999</v>
      </c>
      <c r="J978" s="28">
        <v>990.17479100000003</v>
      </c>
      <c r="K978" s="28">
        <v>968.04279399999996</v>
      </c>
      <c r="L978" s="28">
        <v>5.5587971300000003</v>
      </c>
      <c r="M978" s="28">
        <v>117.86653</v>
      </c>
      <c r="N978" s="28">
        <v>66.146720200000004</v>
      </c>
      <c r="O978" s="28">
        <v>1016.81927</v>
      </c>
      <c r="P978" s="28">
        <v>983.18072800000004</v>
      </c>
    </row>
    <row r="979" spans="1:16" x14ac:dyDescent="0.25">
      <c r="A979" s="40">
        <v>3</v>
      </c>
      <c r="B979" s="40">
        <v>221</v>
      </c>
      <c r="C979" s="28">
        <v>13.968507600000001</v>
      </c>
      <c r="D979" s="28">
        <v>6.8190016399999998</v>
      </c>
      <c r="E979" s="28">
        <v>32.3247772</v>
      </c>
      <c r="F979" s="28">
        <v>24.8121069</v>
      </c>
      <c r="G979" s="28">
        <v>18.9202969</v>
      </c>
      <c r="H979" s="28">
        <v>63.578100599999999</v>
      </c>
      <c r="I979" s="28">
        <v>48.444297499999998</v>
      </c>
      <c r="J979" s="28">
        <v>990.42008199999998</v>
      </c>
      <c r="K979" s="28">
        <v>962.41528500000004</v>
      </c>
      <c r="L979" s="28">
        <v>5.60947145</v>
      </c>
      <c r="M979" s="28">
        <v>117.96866199999999</v>
      </c>
      <c r="N979" s="28">
        <v>66.360337599999994</v>
      </c>
      <c r="O979" s="28">
        <v>1026.0886599999999</v>
      </c>
      <c r="P979" s="28">
        <v>973.91134299999999</v>
      </c>
    </row>
    <row r="980" spans="1:16" x14ac:dyDescent="0.25">
      <c r="A980" s="40">
        <v>3</v>
      </c>
      <c r="B980" s="40">
        <v>222</v>
      </c>
      <c r="C980" s="28">
        <v>13.9674806</v>
      </c>
      <c r="D980" s="28">
        <v>6.8514625000000002</v>
      </c>
      <c r="E980" s="28">
        <v>32.174361599999997</v>
      </c>
      <c r="F980" s="28">
        <v>24.664601300000001</v>
      </c>
      <c r="G980" s="28">
        <v>18.662612500000002</v>
      </c>
      <c r="H980" s="28">
        <v>63.064712399999998</v>
      </c>
      <c r="I980" s="28">
        <v>48.9167384</v>
      </c>
      <c r="J980" s="28">
        <v>989.95981200000006</v>
      </c>
      <c r="K980" s="28">
        <v>967.54052999999999</v>
      </c>
      <c r="L980" s="28">
        <v>5.6946441999999999</v>
      </c>
      <c r="M980" s="28">
        <v>118.41725</v>
      </c>
      <c r="N980" s="28">
        <v>66.530411799999996</v>
      </c>
      <c r="O980" s="28">
        <v>1041.6685199999999</v>
      </c>
      <c r="P980" s="28">
        <v>958.33148200000005</v>
      </c>
    </row>
    <row r="981" spans="1:16" x14ac:dyDescent="0.25">
      <c r="A981" s="40">
        <v>3</v>
      </c>
      <c r="B981" s="40">
        <v>223</v>
      </c>
      <c r="C981" s="28">
        <v>13.895816999999999</v>
      </c>
      <c r="D981" s="28">
        <v>6.7905607000000003</v>
      </c>
      <c r="E981" s="28">
        <v>32.022121300000002</v>
      </c>
      <c r="F981" s="28">
        <v>25.149112599999999</v>
      </c>
      <c r="G981" s="28">
        <v>18.663829199999999</v>
      </c>
      <c r="H981" s="28">
        <v>61.720248699999999</v>
      </c>
      <c r="I981" s="28">
        <v>49.884262300000003</v>
      </c>
      <c r="J981" s="28">
        <v>990.40389800000003</v>
      </c>
      <c r="K981" s="28">
        <v>966.08245999999997</v>
      </c>
      <c r="L981" s="28">
        <v>5.7606824400000001</v>
      </c>
      <c r="M981" s="28">
        <v>118.194464</v>
      </c>
      <c r="N981" s="28">
        <v>66.538398700000002</v>
      </c>
      <c r="O981" s="28">
        <v>1053.74828</v>
      </c>
      <c r="P981" s="28">
        <v>946.25171799999998</v>
      </c>
    </row>
    <row r="982" spans="1:16" x14ac:dyDescent="0.25">
      <c r="A982" s="40">
        <v>3</v>
      </c>
      <c r="B982" s="40">
        <v>224</v>
      </c>
      <c r="C982" s="28">
        <v>13.914066500000001</v>
      </c>
      <c r="D982" s="28">
        <v>6.7520586800000002</v>
      </c>
      <c r="E982" s="28">
        <v>31.5891208</v>
      </c>
      <c r="F982" s="28">
        <v>25.226437600000001</v>
      </c>
      <c r="G982" s="28">
        <v>19.0519</v>
      </c>
      <c r="H982" s="28">
        <v>61.7913116</v>
      </c>
      <c r="I982" s="28">
        <v>49.880061900000001</v>
      </c>
      <c r="J982" s="28">
        <v>990.30237099999999</v>
      </c>
      <c r="K982" s="28">
        <v>964.06197499999996</v>
      </c>
      <c r="L982" s="28">
        <v>5.7426754500000001</v>
      </c>
      <c r="M982" s="28">
        <v>118.39821600000001</v>
      </c>
      <c r="N982" s="28">
        <v>65.656250299999996</v>
      </c>
      <c r="O982" s="28">
        <v>1050.45443</v>
      </c>
      <c r="P982" s="28">
        <v>949.54557</v>
      </c>
    </row>
    <row r="983" spans="1:16" x14ac:dyDescent="0.25">
      <c r="A983" s="40">
        <v>3</v>
      </c>
      <c r="B983" s="40">
        <v>225</v>
      </c>
      <c r="C983" s="28">
        <v>13.9100176</v>
      </c>
      <c r="D983" s="28">
        <v>6.7616054099999996</v>
      </c>
      <c r="E983" s="28">
        <v>31.364288299999998</v>
      </c>
      <c r="F983" s="28">
        <v>25.205602599999999</v>
      </c>
      <c r="G983" s="28">
        <v>19.037070400000001</v>
      </c>
      <c r="H983" s="28">
        <v>61.559509300000002</v>
      </c>
      <c r="I983" s="28">
        <v>49.650430999999998</v>
      </c>
      <c r="J983" s="28">
        <v>990.68964600000004</v>
      </c>
      <c r="K983" s="28">
        <v>961.620589</v>
      </c>
      <c r="L983" s="28">
        <v>5.7336196700000004</v>
      </c>
      <c r="M983" s="28">
        <v>118.293671</v>
      </c>
      <c r="N983" s="28">
        <v>65.517119600000001</v>
      </c>
      <c r="O983" s="28">
        <v>1048.7979399999999</v>
      </c>
      <c r="P983" s="28">
        <v>951.20205999999996</v>
      </c>
    </row>
    <row r="984" spans="1:16" x14ac:dyDescent="0.25">
      <c r="A984" s="40">
        <v>3</v>
      </c>
      <c r="B984" s="40">
        <v>226</v>
      </c>
      <c r="C984" s="28">
        <v>13.930979799999999</v>
      </c>
      <c r="D984" s="28">
        <v>6.7134408299999997</v>
      </c>
      <c r="E984" s="28">
        <v>31.365009400000002</v>
      </c>
      <c r="F984" s="28">
        <v>25.496661700000001</v>
      </c>
      <c r="G984" s="28">
        <v>18.915719299999999</v>
      </c>
      <c r="H984" s="28">
        <v>61.472703099999997</v>
      </c>
      <c r="I984" s="28">
        <v>49.020930499999999</v>
      </c>
      <c r="J984" s="28">
        <v>990.33188399999995</v>
      </c>
      <c r="K984" s="28">
        <v>960.255045</v>
      </c>
      <c r="L984" s="28">
        <v>5.6563193500000004</v>
      </c>
      <c r="M984" s="28">
        <v>117.466308</v>
      </c>
      <c r="N984" s="28">
        <v>66.786347899999996</v>
      </c>
      <c r="O984" s="28">
        <v>1034.6581100000001</v>
      </c>
      <c r="P984" s="28">
        <v>965.34189000000003</v>
      </c>
    </row>
    <row r="985" spans="1:16" x14ac:dyDescent="0.25">
      <c r="A985" s="40">
        <v>3</v>
      </c>
      <c r="B985" s="40">
        <v>227</v>
      </c>
      <c r="C985" s="28">
        <v>13.9139155</v>
      </c>
      <c r="D985" s="28">
        <v>6.7942690499999996</v>
      </c>
      <c r="E985" s="28">
        <v>30.680784500000001</v>
      </c>
      <c r="F985" s="28">
        <v>25.6504577</v>
      </c>
      <c r="G985" s="28">
        <v>19.085547200000001</v>
      </c>
      <c r="H985" s="28">
        <v>62.6424649</v>
      </c>
      <c r="I985" s="28">
        <v>50.577006400000002</v>
      </c>
      <c r="J985" s="28">
        <v>992.44581100000005</v>
      </c>
      <c r="K985" s="28">
        <v>959.60756400000002</v>
      </c>
      <c r="L985" s="28">
        <v>5.6701112399999998</v>
      </c>
      <c r="M985" s="28">
        <v>116.95540800000001</v>
      </c>
      <c r="N985" s="28">
        <v>66.972153199999994</v>
      </c>
      <c r="O985" s="28">
        <v>1037.18093</v>
      </c>
      <c r="P985" s="28">
        <v>962.81906900000001</v>
      </c>
    </row>
    <row r="986" spans="1:16" x14ac:dyDescent="0.25">
      <c r="A986" s="40">
        <v>3</v>
      </c>
      <c r="B986" s="40">
        <v>228</v>
      </c>
      <c r="C986" s="28">
        <v>13.935926200000001</v>
      </c>
      <c r="D986" s="28">
        <v>6.85970061</v>
      </c>
      <c r="E986" s="28">
        <v>30.192466599999999</v>
      </c>
      <c r="F986" s="28">
        <v>25.758760599999999</v>
      </c>
      <c r="G986" s="28">
        <v>19.123727500000001</v>
      </c>
      <c r="H986" s="28">
        <v>62.672082199999998</v>
      </c>
      <c r="I986" s="28">
        <v>51.464189599999997</v>
      </c>
      <c r="J986" s="28">
        <v>992.81136000000004</v>
      </c>
      <c r="K986" s="28">
        <v>964.684167</v>
      </c>
      <c r="L986" s="28">
        <v>5.7304160199999998</v>
      </c>
      <c r="M986" s="28">
        <v>118.77116700000001</v>
      </c>
      <c r="N986" s="28">
        <v>65.75573</v>
      </c>
      <c r="O986" s="28">
        <v>1048.2119299999999</v>
      </c>
      <c r="P986" s="28">
        <v>951.78807300000005</v>
      </c>
    </row>
    <row r="987" spans="1:16" x14ac:dyDescent="0.25">
      <c r="A987" s="40">
        <v>3</v>
      </c>
      <c r="B987" s="40">
        <v>229</v>
      </c>
      <c r="C987" s="28">
        <v>13.861884999999999</v>
      </c>
      <c r="D987" s="28">
        <v>6.8511622299999999</v>
      </c>
      <c r="E987" s="28">
        <v>29.846067300000001</v>
      </c>
      <c r="F987" s="28">
        <v>25.628382299999998</v>
      </c>
      <c r="G987" s="28">
        <v>18.977053300000001</v>
      </c>
      <c r="H987" s="28">
        <v>62.513006699999998</v>
      </c>
      <c r="I987" s="28">
        <v>52.756043699999999</v>
      </c>
      <c r="J987" s="28">
        <v>993.62174300000004</v>
      </c>
      <c r="K987" s="28">
        <v>958.47799699999996</v>
      </c>
      <c r="L987" s="28">
        <v>5.7763833099999999</v>
      </c>
      <c r="M987" s="28">
        <v>118.29732</v>
      </c>
      <c r="N987" s="28">
        <v>65.798924</v>
      </c>
      <c r="O987" s="28">
        <v>1056.6203</v>
      </c>
      <c r="P987" s="28">
        <v>943.37970399999995</v>
      </c>
    </row>
    <row r="988" spans="1:16" x14ac:dyDescent="0.25">
      <c r="A988" s="40">
        <v>3</v>
      </c>
      <c r="B988" s="40">
        <v>230</v>
      </c>
      <c r="C988" s="28">
        <v>13.882173999999999</v>
      </c>
      <c r="D988" s="28">
        <v>6.8374518399999999</v>
      </c>
      <c r="E988" s="28">
        <v>29.634550900000001</v>
      </c>
      <c r="F988" s="28">
        <v>25.8812563</v>
      </c>
      <c r="G988" s="28">
        <v>18.821462799999999</v>
      </c>
      <c r="H988" s="28">
        <v>62.4115137</v>
      </c>
      <c r="I988" s="28">
        <v>53.452865600000003</v>
      </c>
      <c r="J988" s="28">
        <v>993.71912199999997</v>
      </c>
      <c r="K988" s="28">
        <v>959.12168399999996</v>
      </c>
      <c r="L988" s="28">
        <v>5.82435276</v>
      </c>
      <c r="M988" s="28">
        <v>118.152315</v>
      </c>
      <c r="N988" s="28">
        <v>65.068215199999997</v>
      </c>
      <c r="O988" s="28">
        <v>1065.3949</v>
      </c>
      <c r="P988" s="28">
        <v>934.605096</v>
      </c>
    </row>
    <row r="989" spans="1:16" x14ac:dyDescent="0.25">
      <c r="A989" s="40">
        <v>3</v>
      </c>
      <c r="B989" s="40">
        <v>231</v>
      </c>
      <c r="C989" s="28">
        <v>13.836508200000001</v>
      </c>
      <c r="D989" s="28">
        <v>6.86181442</v>
      </c>
      <c r="E989" s="28">
        <v>29.434373900000001</v>
      </c>
      <c r="F989" s="28">
        <v>26.00881</v>
      </c>
      <c r="G989" s="28">
        <v>18.776671400000001</v>
      </c>
      <c r="H989" s="28">
        <v>62.365859100000002</v>
      </c>
      <c r="I989" s="28">
        <v>54.711257699999997</v>
      </c>
      <c r="J989" s="28">
        <v>994.80281000000002</v>
      </c>
      <c r="K989" s="28">
        <v>950.88020100000006</v>
      </c>
      <c r="L989" s="28">
        <v>5.7866314000000001</v>
      </c>
      <c r="M989" s="28">
        <v>119.74998600000001</v>
      </c>
      <c r="N989" s="28">
        <v>66.341598099999999</v>
      </c>
      <c r="O989" s="28">
        <v>1058.49488</v>
      </c>
      <c r="P989" s="28">
        <v>941.50511500000005</v>
      </c>
    </row>
    <row r="990" spans="1:16" x14ac:dyDescent="0.25">
      <c r="A990" s="40">
        <v>3</v>
      </c>
      <c r="B990" s="40">
        <v>232</v>
      </c>
      <c r="C990" s="28">
        <v>13.8758607</v>
      </c>
      <c r="D990" s="28">
        <v>6.7873467999999999</v>
      </c>
      <c r="E990" s="28">
        <v>29.603631400000001</v>
      </c>
      <c r="F990" s="28">
        <v>26.3162789</v>
      </c>
      <c r="G990" s="28">
        <v>18.975257899999999</v>
      </c>
      <c r="H990" s="28">
        <v>63.109894500000003</v>
      </c>
      <c r="I990" s="28">
        <v>56.3022542</v>
      </c>
      <c r="J990" s="28">
        <v>995.45560699999999</v>
      </c>
      <c r="K990" s="28">
        <v>954.691326</v>
      </c>
      <c r="L990" s="28">
        <v>5.8357484900000003</v>
      </c>
      <c r="M990" s="28">
        <v>120.227626</v>
      </c>
      <c r="N990" s="28">
        <v>66.350096500000006</v>
      </c>
      <c r="O990" s="28">
        <v>1067.4794199999999</v>
      </c>
      <c r="P990" s="28">
        <v>932.52058099999999</v>
      </c>
    </row>
    <row r="991" spans="1:16" x14ac:dyDescent="0.25">
      <c r="A991" s="40">
        <v>3</v>
      </c>
      <c r="B991" s="40">
        <v>233</v>
      </c>
      <c r="C991" s="28">
        <v>13.902200199999999</v>
      </c>
      <c r="D991" s="28">
        <v>6.7855384699999997</v>
      </c>
      <c r="E991" s="28">
        <v>29.489983800000001</v>
      </c>
      <c r="F991" s="28">
        <v>26.246869400000001</v>
      </c>
      <c r="G991" s="28">
        <v>18.676651499999998</v>
      </c>
      <c r="H991" s="28">
        <v>63.2085559</v>
      </c>
      <c r="I991" s="28">
        <v>55.625721900000002</v>
      </c>
      <c r="J991" s="28">
        <v>995.71263499999998</v>
      </c>
      <c r="K991" s="28">
        <v>963.82771200000002</v>
      </c>
      <c r="L991" s="28">
        <v>5.86141047</v>
      </c>
      <c r="M991" s="28">
        <v>121.3424</v>
      </c>
      <c r="N991" s="28">
        <v>67.829174899999998</v>
      </c>
      <c r="O991" s="28">
        <v>1072.17353</v>
      </c>
      <c r="P991" s="28">
        <v>927.82647199999997</v>
      </c>
    </row>
    <row r="992" spans="1:16" x14ac:dyDescent="0.25">
      <c r="A992" s="40">
        <v>3</v>
      </c>
      <c r="B992" s="40">
        <v>234</v>
      </c>
      <c r="C992" s="28">
        <v>14.113536699999999</v>
      </c>
      <c r="D992" s="28">
        <v>6.7890684600000002</v>
      </c>
      <c r="E992" s="28">
        <v>29.527861600000001</v>
      </c>
      <c r="F992" s="28">
        <v>26.0808626</v>
      </c>
      <c r="G992" s="28">
        <v>18.490803400000001</v>
      </c>
      <c r="H992" s="28">
        <v>63.361422500000003</v>
      </c>
      <c r="I992" s="28">
        <v>55.0187442</v>
      </c>
      <c r="J992" s="28">
        <v>994.93687499999999</v>
      </c>
      <c r="K992" s="28">
        <v>961.69482500000004</v>
      </c>
      <c r="L992" s="28">
        <v>5.8630931100000003</v>
      </c>
      <c r="M992" s="28">
        <v>121.089721</v>
      </c>
      <c r="N992" s="28">
        <v>68.272671299999999</v>
      </c>
      <c r="O992" s="28">
        <v>1072.4813200000001</v>
      </c>
      <c r="P992" s="28">
        <v>927.51868300000001</v>
      </c>
    </row>
    <row r="993" spans="1:16" x14ac:dyDescent="0.25">
      <c r="A993" s="40">
        <v>3</v>
      </c>
      <c r="B993" s="40">
        <v>235</v>
      </c>
      <c r="C993" s="28">
        <v>14.072833299999999</v>
      </c>
      <c r="D993" s="28">
        <v>6.7528459700000001</v>
      </c>
      <c r="E993" s="28">
        <v>29.769132899999999</v>
      </c>
      <c r="F993" s="28">
        <v>26.125236600000001</v>
      </c>
      <c r="G993" s="28">
        <v>18.7709908</v>
      </c>
      <c r="H993" s="28">
        <v>64.082930300000001</v>
      </c>
      <c r="I993" s="28">
        <v>55.356882400000003</v>
      </c>
      <c r="J993" s="28">
        <v>995.98099200000001</v>
      </c>
      <c r="K993" s="28">
        <v>971.22215100000005</v>
      </c>
      <c r="L993" s="28">
        <v>5.85442895</v>
      </c>
      <c r="M993" s="28">
        <v>120.528166</v>
      </c>
      <c r="N993" s="28">
        <v>68.951926099999994</v>
      </c>
      <c r="O993" s="28">
        <v>1070.8964599999999</v>
      </c>
      <c r="P993" s="28">
        <v>929.10353699999996</v>
      </c>
    </row>
    <row r="994" spans="1:16" x14ac:dyDescent="0.25">
      <c r="A994" s="40">
        <v>3</v>
      </c>
      <c r="B994" s="40">
        <v>236</v>
      </c>
      <c r="C994" s="28">
        <v>14.0792872</v>
      </c>
      <c r="D994" s="28">
        <v>6.7680192300000002</v>
      </c>
      <c r="E994" s="28">
        <v>29.913640099999999</v>
      </c>
      <c r="F994" s="28">
        <v>25.9838594</v>
      </c>
      <c r="G994" s="28">
        <v>19.060673000000001</v>
      </c>
      <c r="H994" s="28">
        <v>64.453890200000004</v>
      </c>
      <c r="I994" s="28">
        <v>54.241944699999998</v>
      </c>
      <c r="J994" s="28">
        <v>995.80874300000005</v>
      </c>
      <c r="K994" s="28">
        <v>968.80057899999997</v>
      </c>
      <c r="L994" s="28">
        <v>5.7636559399999996</v>
      </c>
      <c r="M994" s="28">
        <v>120.063571</v>
      </c>
      <c r="N994" s="28">
        <v>69.171989300000007</v>
      </c>
      <c r="O994" s="28">
        <v>1054.2922000000001</v>
      </c>
      <c r="P994" s="28">
        <v>945.70780200000002</v>
      </c>
    </row>
    <row r="995" spans="1:16" x14ac:dyDescent="0.25">
      <c r="A995" s="40">
        <v>3</v>
      </c>
      <c r="B995" s="40">
        <v>237</v>
      </c>
      <c r="C995" s="28">
        <v>14.2152235</v>
      </c>
      <c r="D995" s="28">
        <v>6.7232083100000004</v>
      </c>
      <c r="E995" s="28">
        <v>29.591962299999999</v>
      </c>
      <c r="F995" s="28">
        <v>25.801137000000001</v>
      </c>
      <c r="G995" s="28">
        <v>19.1142544</v>
      </c>
      <c r="H995" s="28">
        <v>63.082555300000003</v>
      </c>
      <c r="I995" s="28">
        <v>53.070745700000003</v>
      </c>
      <c r="J995" s="28">
        <v>994.71570099999997</v>
      </c>
      <c r="K995" s="28">
        <v>971.00040799999999</v>
      </c>
      <c r="L995" s="28">
        <v>5.7884101100000001</v>
      </c>
      <c r="M995" s="28">
        <v>119.48370799999999</v>
      </c>
      <c r="N995" s="28">
        <v>70.519474000000002</v>
      </c>
      <c r="O995" s="28">
        <v>1058.82025</v>
      </c>
      <c r="P995" s="28">
        <v>941.17975100000001</v>
      </c>
    </row>
    <row r="996" spans="1:16" x14ac:dyDescent="0.25">
      <c r="A996" s="40">
        <v>3</v>
      </c>
      <c r="B996" s="40">
        <v>238</v>
      </c>
      <c r="C996" s="28">
        <v>14.2549794</v>
      </c>
      <c r="D996" s="28">
        <v>6.7049090700000002</v>
      </c>
      <c r="E996" s="28">
        <v>29.804336899999999</v>
      </c>
      <c r="F996" s="28">
        <v>25.853939</v>
      </c>
      <c r="G996" s="28">
        <v>19.0328585</v>
      </c>
      <c r="H996" s="28">
        <v>64.005135999999993</v>
      </c>
      <c r="I996" s="28">
        <v>53.288003600000003</v>
      </c>
      <c r="J996" s="28">
        <v>995.07980499999996</v>
      </c>
      <c r="K996" s="28">
        <v>967.80631900000003</v>
      </c>
      <c r="L996" s="28">
        <v>5.7690445800000001</v>
      </c>
      <c r="M996" s="28">
        <v>119.677229</v>
      </c>
      <c r="N996" s="28">
        <v>70.797438600000007</v>
      </c>
      <c r="O996" s="28">
        <v>1055.2778900000001</v>
      </c>
      <c r="P996" s="28">
        <v>944.72210900000005</v>
      </c>
    </row>
    <row r="997" spans="1:16" x14ac:dyDescent="0.25">
      <c r="A997" s="40">
        <v>3</v>
      </c>
      <c r="B997" s="40">
        <v>239</v>
      </c>
      <c r="C997" s="28">
        <v>14.3549814</v>
      </c>
      <c r="D997" s="28">
        <v>6.7641564399999998</v>
      </c>
      <c r="E997" s="28">
        <v>29.929451700000001</v>
      </c>
      <c r="F997" s="28">
        <v>25.658823600000002</v>
      </c>
      <c r="G997" s="28">
        <v>19.171000299999999</v>
      </c>
      <c r="H997" s="28">
        <v>63.450382900000001</v>
      </c>
      <c r="I997" s="28">
        <v>52.103816000000002</v>
      </c>
      <c r="J997" s="28">
        <v>994.74063699999999</v>
      </c>
      <c r="K997" s="28">
        <v>968.30174299999999</v>
      </c>
      <c r="L997" s="28">
        <v>5.6830870899999999</v>
      </c>
      <c r="M997" s="28">
        <v>119.66927200000001</v>
      </c>
      <c r="N997" s="28">
        <v>69.465746499999995</v>
      </c>
      <c r="O997" s="28">
        <v>1039.55448</v>
      </c>
      <c r="P997" s="28">
        <v>960.445517</v>
      </c>
    </row>
    <row r="998" spans="1:16" x14ac:dyDescent="0.25">
      <c r="A998" s="40">
        <v>3</v>
      </c>
      <c r="B998" s="40">
        <v>240</v>
      </c>
      <c r="C998" s="28">
        <v>14.2711174</v>
      </c>
      <c r="D998" s="28">
        <v>6.80565116</v>
      </c>
      <c r="E998" s="28">
        <v>29.785103299999999</v>
      </c>
      <c r="F998" s="28">
        <v>25.493979599999999</v>
      </c>
      <c r="G998" s="28">
        <v>19.429258999999998</v>
      </c>
      <c r="H998" s="28">
        <v>63.306570200000003</v>
      </c>
      <c r="I998" s="28">
        <v>52.233271299999998</v>
      </c>
      <c r="J998" s="28">
        <v>994.86435800000004</v>
      </c>
      <c r="K998" s="28">
        <v>966.11163299999998</v>
      </c>
      <c r="L998" s="28">
        <v>5.7097456199999996</v>
      </c>
      <c r="M998" s="28">
        <v>120.242206</v>
      </c>
      <c r="N998" s="28">
        <v>68.307119700000001</v>
      </c>
      <c r="O998" s="28">
        <v>1044.4308799999999</v>
      </c>
      <c r="P998" s="28">
        <v>955.569118</v>
      </c>
    </row>
    <row r="999" spans="1:16" x14ac:dyDescent="0.25">
      <c r="A999" s="40">
        <v>3</v>
      </c>
      <c r="B999" s="40">
        <v>241</v>
      </c>
      <c r="C999" s="28">
        <v>14.162051099999999</v>
      </c>
      <c r="D999" s="28">
        <v>6.75984769</v>
      </c>
      <c r="E999" s="28">
        <v>29.9005385</v>
      </c>
      <c r="F999" s="28">
        <v>25.506824699999999</v>
      </c>
      <c r="G999" s="28">
        <v>19.682676499999999</v>
      </c>
      <c r="H999" s="28">
        <v>63.178360099999999</v>
      </c>
      <c r="I999" s="28">
        <v>51.922894900000003</v>
      </c>
      <c r="J999" s="28">
        <v>995.330915</v>
      </c>
      <c r="K999" s="28">
        <v>968.40466200000003</v>
      </c>
      <c r="L999" s="28">
        <v>5.62240757</v>
      </c>
      <c r="M999" s="28">
        <v>120.00441499999999</v>
      </c>
      <c r="N999" s="28">
        <v>68.866816299999996</v>
      </c>
      <c r="O999" s="28">
        <v>1028.4549400000001</v>
      </c>
      <c r="P999" s="28">
        <v>971.54505900000004</v>
      </c>
    </row>
    <row r="1000" spans="1:16" x14ac:dyDescent="0.25">
      <c r="A1000" s="40">
        <v>3</v>
      </c>
      <c r="B1000" s="40">
        <v>242</v>
      </c>
      <c r="C1000" s="28">
        <v>14.0261852</v>
      </c>
      <c r="D1000" s="28">
        <v>6.6973547699999996</v>
      </c>
      <c r="E1000" s="28">
        <v>29.5045565</v>
      </c>
      <c r="F1000" s="28">
        <v>25.198643499999999</v>
      </c>
      <c r="G1000" s="28">
        <v>19.6451359</v>
      </c>
      <c r="H1000" s="28">
        <v>62.265326799999997</v>
      </c>
      <c r="I1000" s="28">
        <v>52.061368000000002</v>
      </c>
      <c r="J1000" s="28">
        <v>994.76541699999996</v>
      </c>
      <c r="K1000" s="28">
        <v>968.584158</v>
      </c>
      <c r="L1000" s="28">
        <v>5.6548181599999996</v>
      </c>
      <c r="M1000" s="28">
        <v>119.621365</v>
      </c>
      <c r="N1000" s="28">
        <v>70.045997400000005</v>
      </c>
      <c r="O1000" s="28">
        <v>1034.3835099999999</v>
      </c>
      <c r="P1000" s="28">
        <v>965.61649</v>
      </c>
    </row>
    <row r="1001" spans="1:16" x14ac:dyDescent="0.25">
      <c r="A1001" s="40">
        <v>3</v>
      </c>
      <c r="B1001" s="40">
        <v>243</v>
      </c>
      <c r="C1001" s="28">
        <v>14.060991700000001</v>
      </c>
      <c r="D1001" s="28">
        <v>6.6680423800000002</v>
      </c>
      <c r="E1001" s="28">
        <v>29.577989599999999</v>
      </c>
      <c r="F1001" s="28">
        <v>25.25104</v>
      </c>
      <c r="G1001" s="28">
        <v>19.866403099999999</v>
      </c>
      <c r="H1001" s="28">
        <v>61.193055999999999</v>
      </c>
      <c r="I1001" s="28">
        <v>52.183064299999998</v>
      </c>
      <c r="J1001" s="28">
        <v>994.523188</v>
      </c>
      <c r="K1001" s="28">
        <v>972.57158100000004</v>
      </c>
      <c r="L1001" s="28">
        <v>5.8576170000000003</v>
      </c>
      <c r="M1001" s="28">
        <v>120.134979</v>
      </c>
      <c r="N1001" s="28">
        <v>67.957325299999994</v>
      </c>
      <c r="O1001" s="28">
        <v>1071.4796200000001</v>
      </c>
      <c r="P1001" s="28">
        <v>928.52037600000006</v>
      </c>
    </row>
    <row r="1002" spans="1:16" x14ac:dyDescent="0.25">
      <c r="A1002" s="40">
        <v>3</v>
      </c>
      <c r="B1002" s="40">
        <v>244</v>
      </c>
      <c r="C1002" s="28">
        <v>14.1582147</v>
      </c>
      <c r="D1002" s="28">
        <v>6.66144845</v>
      </c>
      <c r="E1002" s="28">
        <v>29.245455799999998</v>
      </c>
      <c r="F1002" s="28">
        <v>25.234535000000001</v>
      </c>
      <c r="G1002" s="28">
        <v>19.811506399999999</v>
      </c>
      <c r="H1002" s="28">
        <v>62.966009999999997</v>
      </c>
      <c r="I1002" s="28">
        <v>51.446760300000001</v>
      </c>
      <c r="J1002" s="28">
        <v>995.18576599999994</v>
      </c>
      <c r="K1002" s="28">
        <v>973.832179</v>
      </c>
      <c r="L1002" s="28">
        <v>5.8171232899999996</v>
      </c>
      <c r="M1002" s="28">
        <v>120.396287</v>
      </c>
      <c r="N1002" s="28">
        <v>68.535425500000002</v>
      </c>
      <c r="O1002" s="28">
        <v>1064.07249</v>
      </c>
      <c r="P1002" s="28">
        <v>935.92751499999997</v>
      </c>
    </row>
    <row r="1003" spans="1:16" x14ac:dyDescent="0.25">
      <c r="A1003" s="40">
        <v>3</v>
      </c>
      <c r="B1003" s="40">
        <v>245</v>
      </c>
      <c r="C1003" s="28">
        <v>13.99888</v>
      </c>
      <c r="D1003" s="28">
        <v>6.67078565</v>
      </c>
      <c r="E1003" s="28">
        <v>29.311091000000001</v>
      </c>
      <c r="F1003" s="28">
        <v>25.2145896</v>
      </c>
      <c r="G1003" s="28">
        <v>19.6119047</v>
      </c>
      <c r="H1003" s="28">
        <v>62.912492299999997</v>
      </c>
      <c r="I1003" s="28">
        <v>51.927565899999998</v>
      </c>
      <c r="J1003" s="28">
        <v>996.01808000000005</v>
      </c>
      <c r="K1003" s="28">
        <v>969.413859</v>
      </c>
      <c r="L1003" s="28">
        <v>5.6832833999999997</v>
      </c>
      <c r="M1003" s="28">
        <v>120.46517299999999</v>
      </c>
      <c r="N1003" s="28">
        <v>70.480336300000005</v>
      </c>
      <c r="O1003" s="28">
        <v>1039.5903900000001</v>
      </c>
      <c r="P1003" s="28">
        <v>960.40960600000005</v>
      </c>
    </row>
    <row r="1004" spans="1:16" x14ac:dyDescent="0.25">
      <c r="A1004" s="40">
        <v>3</v>
      </c>
      <c r="B1004" s="40">
        <v>246</v>
      </c>
      <c r="C1004" s="28">
        <v>13.9485531</v>
      </c>
      <c r="D1004" s="28">
        <v>6.6983693500000001</v>
      </c>
      <c r="E1004" s="28">
        <v>29.117843300000001</v>
      </c>
      <c r="F1004" s="28">
        <v>25.2541473</v>
      </c>
      <c r="G1004" s="28">
        <v>19.530469400000001</v>
      </c>
      <c r="H1004" s="28">
        <v>62.673295899999999</v>
      </c>
      <c r="I1004" s="28">
        <v>51.948711699999997</v>
      </c>
      <c r="J1004" s="28">
        <v>996.19725200000005</v>
      </c>
      <c r="K1004" s="28">
        <v>962.00876400000004</v>
      </c>
      <c r="L1004" s="28">
        <v>5.5985061299999996</v>
      </c>
      <c r="M1004" s="28">
        <v>120.66267499999999</v>
      </c>
      <c r="N1004" s="28">
        <v>70.299248500000004</v>
      </c>
      <c r="O1004" s="28">
        <v>1024.08287</v>
      </c>
      <c r="P1004" s="28">
        <v>975.91712800000005</v>
      </c>
    </row>
    <row r="1005" spans="1:16" x14ac:dyDescent="0.25">
      <c r="A1005" s="40">
        <v>3</v>
      </c>
      <c r="B1005" s="40">
        <v>247</v>
      </c>
      <c r="C1005" s="28">
        <v>13.919906900000001</v>
      </c>
      <c r="D1005" s="28">
        <v>6.6772976899999996</v>
      </c>
      <c r="E1005" s="28">
        <v>29.237478299999999</v>
      </c>
      <c r="F1005" s="28">
        <v>25.460521799999999</v>
      </c>
      <c r="G1005" s="28">
        <v>19.567788100000001</v>
      </c>
      <c r="H1005" s="28">
        <v>63.650090200000001</v>
      </c>
      <c r="I1005" s="28">
        <v>51.938593599999997</v>
      </c>
      <c r="J1005" s="28">
        <v>997.34759799999995</v>
      </c>
      <c r="K1005" s="28">
        <v>959.35073</v>
      </c>
      <c r="L1005" s="28">
        <v>5.51149763</v>
      </c>
      <c r="M1005" s="28">
        <v>120.47272100000001</v>
      </c>
      <c r="N1005" s="28">
        <v>70.3956692</v>
      </c>
      <c r="O1005" s="28">
        <v>1008.16721</v>
      </c>
      <c r="P1005" s="28">
        <v>991.83278700000005</v>
      </c>
    </row>
    <row r="1006" spans="1:16" x14ac:dyDescent="0.25">
      <c r="A1006" s="40">
        <v>3</v>
      </c>
      <c r="B1006" s="40">
        <v>248</v>
      </c>
      <c r="C1006" s="28">
        <v>13.884936099999999</v>
      </c>
      <c r="D1006" s="28">
        <v>6.7222390699999996</v>
      </c>
      <c r="E1006" s="28">
        <v>29.082047200000002</v>
      </c>
      <c r="F1006" s="28">
        <v>25.686061299999999</v>
      </c>
      <c r="G1006" s="28">
        <v>19.7573778</v>
      </c>
      <c r="H1006" s="28">
        <v>64.260413099999994</v>
      </c>
      <c r="I1006" s="28">
        <v>53.072337300000001</v>
      </c>
      <c r="J1006" s="28">
        <v>998.57840999999996</v>
      </c>
      <c r="K1006" s="28">
        <v>968.86223500000006</v>
      </c>
      <c r="L1006" s="28">
        <v>5.52613106</v>
      </c>
      <c r="M1006" s="28">
        <v>120.506891</v>
      </c>
      <c r="N1006" s="28">
        <v>70.909481999999997</v>
      </c>
      <c r="O1006" s="28">
        <v>1010.84397</v>
      </c>
      <c r="P1006" s="28">
        <v>989.15602899999999</v>
      </c>
    </row>
    <row r="1007" spans="1:16" x14ac:dyDescent="0.25">
      <c r="A1007" s="40">
        <v>3</v>
      </c>
      <c r="B1007" s="40">
        <v>249</v>
      </c>
      <c r="C1007" s="28">
        <v>13.8140152</v>
      </c>
      <c r="D1007" s="28">
        <v>6.72851088</v>
      </c>
      <c r="E1007" s="28">
        <v>29.705858500000001</v>
      </c>
      <c r="F1007" s="28">
        <v>25.423605999999999</v>
      </c>
      <c r="G1007" s="28">
        <v>19.992068199999999</v>
      </c>
      <c r="H1007" s="28">
        <v>63.802546300000003</v>
      </c>
      <c r="I1007" s="28">
        <v>53.297078200000001</v>
      </c>
      <c r="J1007" s="28">
        <v>998.69785200000001</v>
      </c>
      <c r="K1007" s="28">
        <v>973.981494</v>
      </c>
      <c r="L1007" s="28">
        <v>5.5164937800000002</v>
      </c>
      <c r="M1007" s="28">
        <v>120.02712699999999</v>
      </c>
      <c r="N1007" s="28">
        <v>69.701862700000007</v>
      </c>
      <c r="O1007" s="28">
        <v>1009.08111</v>
      </c>
      <c r="P1007" s="28">
        <v>990.91888800000004</v>
      </c>
    </row>
    <row r="1008" spans="1:16" x14ac:dyDescent="0.25">
      <c r="A1008" s="40">
        <v>3</v>
      </c>
      <c r="B1008" s="40">
        <v>250</v>
      </c>
      <c r="C1008" s="28">
        <v>13.9130605</v>
      </c>
      <c r="D1008" s="28">
        <v>6.7174384900000002</v>
      </c>
      <c r="E1008" s="28">
        <v>29.4512185</v>
      </c>
      <c r="F1008" s="28">
        <v>25.0419707</v>
      </c>
      <c r="G1008" s="28">
        <v>20.073088500000001</v>
      </c>
      <c r="H1008" s="28">
        <v>63.089026500000003</v>
      </c>
      <c r="I1008" s="28">
        <v>52.850668200000001</v>
      </c>
      <c r="J1008" s="28">
        <v>997.85556799999995</v>
      </c>
      <c r="K1008" s="28">
        <v>970.964382</v>
      </c>
      <c r="L1008" s="28">
        <v>5.5214809200000001</v>
      </c>
      <c r="M1008" s="28">
        <v>119.630601</v>
      </c>
      <c r="N1008" s="28">
        <v>70.868403700000002</v>
      </c>
      <c r="O1008" s="28">
        <v>1009.9933600000001</v>
      </c>
      <c r="P1008" s="28">
        <v>990.00663599999996</v>
      </c>
    </row>
    <row r="1009" spans="1:16" x14ac:dyDescent="0.25">
      <c r="A1009" s="40">
        <v>3</v>
      </c>
      <c r="B1009" s="40">
        <v>251</v>
      </c>
      <c r="C1009" s="28">
        <v>14.059656499999999</v>
      </c>
      <c r="D1009" s="28">
        <v>6.7234831399999999</v>
      </c>
      <c r="E1009" s="28">
        <v>29.532827900000001</v>
      </c>
      <c r="F1009" s="28">
        <v>24.855581699999998</v>
      </c>
      <c r="G1009" s="28">
        <v>20.232035799999998</v>
      </c>
      <c r="H1009" s="28">
        <v>64.090346800000006</v>
      </c>
      <c r="I1009" s="28">
        <v>52.3991525</v>
      </c>
      <c r="J1009" s="28">
        <v>998.14708199999995</v>
      </c>
      <c r="K1009" s="28">
        <v>963.374548</v>
      </c>
      <c r="L1009" s="28">
        <v>5.5666233700000003</v>
      </c>
      <c r="M1009" s="28">
        <v>118.97376800000001</v>
      </c>
      <c r="N1009" s="28">
        <v>71.496893900000003</v>
      </c>
      <c r="O1009" s="28">
        <v>1018.25085</v>
      </c>
      <c r="P1009" s="28">
        <v>981.749146</v>
      </c>
    </row>
    <row r="1010" spans="1:16" x14ac:dyDescent="0.25">
      <c r="A1010" s="40">
        <v>3</v>
      </c>
      <c r="B1010" s="40">
        <v>252</v>
      </c>
      <c r="C1010" s="28">
        <v>13.935051899999999</v>
      </c>
      <c r="D1010" s="28">
        <v>6.7001190700000004</v>
      </c>
      <c r="E1010" s="28">
        <v>29.662751199999999</v>
      </c>
      <c r="F1010" s="28">
        <v>25.219473700000002</v>
      </c>
      <c r="G1010" s="28">
        <v>20.279778799999999</v>
      </c>
      <c r="H1010" s="28">
        <v>63.940522999999999</v>
      </c>
      <c r="I1010" s="28">
        <v>52.066034500000001</v>
      </c>
      <c r="J1010" s="28">
        <v>998.73233000000005</v>
      </c>
      <c r="K1010" s="28">
        <v>967.91268600000001</v>
      </c>
      <c r="L1010" s="28">
        <v>5.6568769799999998</v>
      </c>
      <c r="M1010" s="28">
        <v>118.732315</v>
      </c>
      <c r="N1010" s="28">
        <v>71.292335899999998</v>
      </c>
      <c r="O1010" s="28">
        <v>1034.7601099999999</v>
      </c>
      <c r="P1010" s="28">
        <v>965.23988899999995</v>
      </c>
    </row>
    <row r="1011" spans="1:16" x14ac:dyDescent="0.25">
      <c r="A1011" s="40">
        <v>4</v>
      </c>
      <c r="B1011" s="40">
        <v>1</v>
      </c>
      <c r="C1011" s="28">
        <v>13.932593499999999</v>
      </c>
      <c r="D1011" s="28">
        <v>6.6753211600000002</v>
      </c>
      <c r="E1011" s="28">
        <v>29.538035099999998</v>
      </c>
      <c r="F1011" s="28">
        <v>25.271385899999999</v>
      </c>
      <c r="G1011" s="28">
        <v>19.822108799999999</v>
      </c>
      <c r="H1011" s="28">
        <v>63.226201500000002</v>
      </c>
      <c r="I1011" s="28">
        <v>51.749014799999998</v>
      </c>
      <c r="J1011" s="28">
        <v>982.93823599999996</v>
      </c>
      <c r="K1011" s="28">
        <v>920.50739199999998</v>
      </c>
      <c r="L1011" s="28">
        <v>5.6236358500000003</v>
      </c>
      <c r="M1011" s="28">
        <v>117.79447399999999</v>
      </c>
      <c r="N1011" s="28">
        <v>71.626798800000003</v>
      </c>
      <c r="O1011" s="28">
        <v>994.12376700000004</v>
      </c>
      <c r="P1011" s="28">
        <v>1005.87623</v>
      </c>
    </row>
    <row r="1012" spans="1:16" x14ac:dyDescent="0.25">
      <c r="A1012" s="40">
        <v>4</v>
      </c>
      <c r="B1012" s="40">
        <v>2</v>
      </c>
      <c r="C1012" s="28">
        <v>14.0531355</v>
      </c>
      <c r="D1012" s="28">
        <v>6.6522986700000004</v>
      </c>
      <c r="E1012" s="28">
        <v>29.456558999999999</v>
      </c>
      <c r="F1012" s="28">
        <v>25.3881987</v>
      </c>
      <c r="G1012" s="28">
        <v>19.918805200000001</v>
      </c>
      <c r="H1012" s="28">
        <v>63.425908800000002</v>
      </c>
      <c r="I1012" s="28">
        <v>52.090210599999999</v>
      </c>
      <c r="J1012" s="28">
        <v>974.82720800000004</v>
      </c>
      <c r="K1012" s="28">
        <v>913.406432</v>
      </c>
      <c r="L1012" s="28">
        <v>5.6213341899999998</v>
      </c>
      <c r="M1012" s="28">
        <v>118.201949</v>
      </c>
      <c r="N1012" s="28">
        <v>71.560893500000006</v>
      </c>
      <c r="O1012" s="28">
        <v>993.71688900000004</v>
      </c>
      <c r="P1012" s="28">
        <v>1006.28311</v>
      </c>
    </row>
    <row r="1013" spans="1:16" x14ac:dyDescent="0.25">
      <c r="A1013" s="40">
        <v>4</v>
      </c>
      <c r="B1013" s="40">
        <v>3</v>
      </c>
      <c r="C1013" s="28">
        <v>14.0497102</v>
      </c>
      <c r="D1013" s="28">
        <v>6.6843982000000004</v>
      </c>
      <c r="E1013" s="28">
        <v>29.820031400000001</v>
      </c>
      <c r="F1013" s="28">
        <v>25.843054200000001</v>
      </c>
      <c r="G1013" s="28">
        <v>20.016015400000001</v>
      </c>
      <c r="H1013" s="28">
        <v>64.093393599999999</v>
      </c>
      <c r="I1013" s="28">
        <v>51.879650599999998</v>
      </c>
      <c r="J1013" s="28">
        <v>982.54323899999997</v>
      </c>
      <c r="K1013" s="28">
        <v>922.98296100000005</v>
      </c>
      <c r="L1013" s="28">
        <v>5.5938538800000002</v>
      </c>
      <c r="M1013" s="28">
        <v>118.724318</v>
      </c>
      <c r="N1013" s="28">
        <v>71.933186000000006</v>
      </c>
      <c r="O1013" s="28">
        <v>988.85902999999996</v>
      </c>
      <c r="P1013" s="28">
        <v>1011.14097</v>
      </c>
    </row>
    <row r="1014" spans="1:16" x14ac:dyDescent="0.25">
      <c r="A1014" s="40">
        <v>4</v>
      </c>
      <c r="B1014" s="40">
        <v>4</v>
      </c>
      <c r="C1014" s="28">
        <v>14.1847083</v>
      </c>
      <c r="D1014" s="28">
        <v>6.7654163699999996</v>
      </c>
      <c r="E1014" s="28">
        <v>29.891632900000001</v>
      </c>
      <c r="F1014" s="28">
        <v>26.041421499999998</v>
      </c>
      <c r="G1014" s="28">
        <v>20.3822154</v>
      </c>
      <c r="H1014" s="28">
        <v>65.267870799999997</v>
      </c>
      <c r="I1014" s="28">
        <v>51.821088400000001</v>
      </c>
      <c r="J1014" s="28">
        <v>974.40018999999995</v>
      </c>
      <c r="K1014" s="28">
        <v>923.73356200000001</v>
      </c>
      <c r="L1014" s="28">
        <v>5.5469340100000002</v>
      </c>
      <c r="M1014" s="28">
        <v>120.206771</v>
      </c>
      <c r="N1014" s="28">
        <v>72.063141200000004</v>
      </c>
      <c r="O1014" s="28">
        <v>980.56472299999996</v>
      </c>
      <c r="P1014" s="28">
        <v>1019.43528</v>
      </c>
    </row>
    <row r="1015" spans="1:16" x14ac:dyDescent="0.25">
      <c r="A1015" s="40">
        <v>4</v>
      </c>
      <c r="B1015" s="40">
        <v>5</v>
      </c>
      <c r="C1015" s="28">
        <v>14.1699126</v>
      </c>
      <c r="D1015" s="28">
        <v>6.7364856399999997</v>
      </c>
      <c r="E1015" s="28">
        <v>29.795553600000002</v>
      </c>
      <c r="F1015" s="28">
        <v>26.058517500000001</v>
      </c>
      <c r="G1015" s="28">
        <v>20.097970700000001</v>
      </c>
      <c r="H1015" s="28">
        <v>65.282974899999999</v>
      </c>
      <c r="I1015" s="28">
        <v>52.166224100000001</v>
      </c>
      <c r="J1015" s="28">
        <v>982.54730099999995</v>
      </c>
      <c r="K1015" s="28">
        <v>929.37885600000004</v>
      </c>
      <c r="L1015" s="28">
        <v>5.5428397399999998</v>
      </c>
      <c r="M1015" s="28">
        <v>120.344382</v>
      </c>
      <c r="N1015" s="28">
        <v>72.869347099999999</v>
      </c>
      <c r="O1015" s="28">
        <v>979.84095500000001</v>
      </c>
      <c r="P1015" s="28">
        <v>1020.15904</v>
      </c>
    </row>
    <row r="1016" spans="1:16" x14ac:dyDescent="0.25">
      <c r="A1016" s="40">
        <v>4</v>
      </c>
      <c r="B1016" s="40">
        <v>6</v>
      </c>
      <c r="C1016" s="28">
        <v>14.131842799999999</v>
      </c>
      <c r="D1016" s="28">
        <v>6.7182594800000004</v>
      </c>
      <c r="E1016" s="28">
        <v>30.038700800000001</v>
      </c>
      <c r="F1016" s="28">
        <v>26.224565999999999</v>
      </c>
      <c r="G1016" s="28">
        <v>19.815872200000001</v>
      </c>
      <c r="H1016" s="28">
        <v>65.2423821</v>
      </c>
      <c r="I1016" s="28">
        <v>52.307504799999997</v>
      </c>
      <c r="J1016" s="28">
        <v>974.82617900000002</v>
      </c>
      <c r="K1016" s="28">
        <v>921.03442500000006</v>
      </c>
      <c r="L1016" s="28">
        <v>5.6275563699999998</v>
      </c>
      <c r="M1016" s="28">
        <v>120.199004</v>
      </c>
      <c r="N1016" s="28">
        <v>73.927600200000001</v>
      </c>
      <c r="O1016" s="28">
        <v>994.816821</v>
      </c>
      <c r="P1016" s="28">
        <v>1005.18318</v>
      </c>
    </row>
    <row r="1017" spans="1:16" x14ac:dyDescent="0.25">
      <c r="A1017" s="40">
        <v>4</v>
      </c>
      <c r="B1017" s="40">
        <v>7</v>
      </c>
      <c r="C1017" s="28">
        <v>14.156031</v>
      </c>
      <c r="D1017" s="28">
        <v>6.7092291199999998</v>
      </c>
      <c r="E1017" s="28">
        <v>30.134208000000001</v>
      </c>
      <c r="F1017" s="28">
        <v>26.115013699999999</v>
      </c>
      <c r="G1017" s="28">
        <v>19.8806929</v>
      </c>
      <c r="H1017" s="28">
        <v>65.007433800000001</v>
      </c>
      <c r="I1017" s="28">
        <v>52.001137499999999</v>
      </c>
      <c r="J1017" s="28">
        <v>982.86210000000005</v>
      </c>
      <c r="K1017" s="28">
        <v>926.04215299999998</v>
      </c>
      <c r="L1017" s="28">
        <v>5.6491926100000001</v>
      </c>
      <c r="M1017" s="28">
        <v>120.351754</v>
      </c>
      <c r="N1017" s="28">
        <v>73.892255399999996</v>
      </c>
      <c r="O1017" s="28">
        <v>998.64158799999996</v>
      </c>
      <c r="P1017" s="28">
        <v>1001.35841</v>
      </c>
    </row>
    <row r="1018" spans="1:16" x14ac:dyDescent="0.25">
      <c r="A1018" s="40">
        <v>4</v>
      </c>
      <c r="B1018" s="40">
        <v>8</v>
      </c>
      <c r="C1018" s="28">
        <v>13.960229099999999</v>
      </c>
      <c r="D1018" s="28">
        <v>6.7187549400000002</v>
      </c>
      <c r="E1018" s="28">
        <v>29.643525100000002</v>
      </c>
      <c r="F1018" s="28">
        <v>26.052187199999999</v>
      </c>
      <c r="G1018" s="28">
        <v>19.669215699999999</v>
      </c>
      <c r="H1018" s="28">
        <v>64.997735700000007</v>
      </c>
      <c r="I1018" s="28">
        <v>51.514077</v>
      </c>
      <c r="J1018" s="28">
        <v>976.20790899999997</v>
      </c>
      <c r="K1018" s="28">
        <v>921.69218100000001</v>
      </c>
      <c r="L1018" s="28">
        <v>5.7274227</v>
      </c>
      <c r="M1018" s="28">
        <v>119.34430399999999</v>
      </c>
      <c r="N1018" s="28">
        <v>74.1029901</v>
      </c>
      <c r="O1018" s="28">
        <v>1012.47079</v>
      </c>
      <c r="P1018" s="28">
        <v>987.52920900000004</v>
      </c>
    </row>
    <row r="1019" spans="1:16" x14ac:dyDescent="0.25">
      <c r="A1019" s="40">
        <v>4</v>
      </c>
      <c r="B1019" s="40">
        <v>9</v>
      </c>
      <c r="C1019" s="28">
        <v>13.9823684</v>
      </c>
      <c r="D1019" s="28">
        <v>6.6614960700000001</v>
      </c>
      <c r="E1019" s="28">
        <v>29.2922887</v>
      </c>
      <c r="F1019" s="28">
        <v>25.9922133</v>
      </c>
      <c r="G1019" s="28">
        <v>19.733650900000001</v>
      </c>
      <c r="H1019" s="28">
        <v>65.594784200000007</v>
      </c>
      <c r="I1019" s="28">
        <v>51.546029799999999</v>
      </c>
      <c r="J1019" s="28">
        <v>983.98620400000004</v>
      </c>
      <c r="K1019" s="28">
        <v>931.02523199999996</v>
      </c>
      <c r="L1019" s="28">
        <v>5.7464457500000004</v>
      </c>
      <c r="M1019" s="28">
        <v>118.717958</v>
      </c>
      <c r="N1019" s="28">
        <v>75.651909799999999</v>
      </c>
      <c r="O1019" s="28">
        <v>1015.83361</v>
      </c>
      <c r="P1019" s="28">
        <v>984.16639199999997</v>
      </c>
    </row>
    <row r="1020" spans="1:16" x14ac:dyDescent="0.25">
      <c r="A1020" s="40">
        <v>4</v>
      </c>
      <c r="B1020" s="40">
        <v>10</v>
      </c>
      <c r="C1020" s="28">
        <v>13.9619085</v>
      </c>
      <c r="D1020" s="28">
        <v>6.6911370100000003</v>
      </c>
      <c r="E1020" s="28">
        <v>28.895900000000001</v>
      </c>
      <c r="F1020" s="28">
        <v>25.7137408</v>
      </c>
      <c r="G1020" s="28">
        <v>19.594819300000001</v>
      </c>
      <c r="H1020" s="28">
        <v>65.052131299999999</v>
      </c>
      <c r="I1020" s="28">
        <v>51.081145999999997</v>
      </c>
      <c r="J1020" s="28">
        <v>978.48508800000002</v>
      </c>
      <c r="K1020" s="28">
        <v>934.22882900000002</v>
      </c>
      <c r="L1020" s="28">
        <v>5.7158431600000004</v>
      </c>
      <c r="M1020" s="28">
        <v>117.766994</v>
      </c>
      <c r="N1020" s="28">
        <v>76.058714300000005</v>
      </c>
      <c r="O1020" s="28">
        <v>1010.42381</v>
      </c>
      <c r="P1020" s="28">
        <v>989.57619499999998</v>
      </c>
    </row>
    <row r="1021" spans="1:16" x14ac:dyDescent="0.25">
      <c r="A1021" s="40">
        <v>4</v>
      </c>
      <c r="B1021" s="40">
        <v>11</v>
      </c>
      <c r="C1021" s="28">
        <v>13.926843399999999</v>
      </c>
      <c r="D1021" s="28">
        <v>6.7168591900000001</v>
      </c>
      <c r="E1021" s="28">
        <v>28.939886999999999</v>
      </c>
      <c r="F1021" s="28">
        <v>25.907911800000001</v>
      </c>
      <c r="G1021" s="28">
        <v>19.624927</v>
      </c>
      <c r="H1021" s="28">
        <v>64.484324599999994</v>
      </c>
      <c r="I1021" s="28">
        <v>51.773697599999998</v>
      </c>
      <c r="J1021" s="28">
        <v>984.31274399999995</v>
      </c>
      <c r="K1021" s="28">
        <v>935.45334700000001</v>
      </c>
      <c r="L1021" s="28">
        <v>5.6911850199999998</v>
      </c>
      <c r="M1021" s="28">
        <v>117.919228</v>
      </c>
      <c r="N1021" s="28">
        <v>75.409437199999999</v>
      </c>
      <c r="O1021" s="28">
        <v>1006.06484</v>
      </c>
      <c r="P1021" s="28">
        <v>993.93516299999999</v>
      </c>
    </row>
    <row r="1022" spans="1:16" x14ac:dyDescent="0.25">
      <c r="A1022" s="40">
        <v>4</v>
      </c>
      <c r="B1022" s="40">
        <v>12</v>
      </c>
      <c r="C1022" s="28">
        <v>13.8855886</v>
      </c>
      <c r="D1022" s="28">
        <v>6.7458396699999996</v>
      </c>
      <c r="E1022" s="28">
        <v>28.9323959</v>
      </c>
      <c r="F1022" s="28">
        <v>25.903178</v>
      </c>
      <c r="G1022" s="28">
        <v>19.685695200000001</v>
      </c>
      <c r="H1022" s="28">
        <v>64.637104800000003</v>
      </c>
      <c r="I1022" s="28">
        <v>51.826292799999997</v>
      </c>
      <c r="J1022" s="28">
        <v>978.40501600000005</v>
      </c>
      <c r="K1022" s="28">
        <v>926.72971700000005</v>
      </c>
      <c r="L1022" s="28">
        <v>5.7307937000000004</v>
      </c>
      <c r="M1022" s="28">
        <v>118.141957</v>
      </c>
      <c r="N1022" s="28">
        <v>75.620084300000002</v>
      </c>
      <c r="O1022" s="28">
        <v>1013.0667</v>
      </c>
      <c r="P1022" s="28">
        <v>986.93329900000003</v>
      </c>
    </row>
    <row r="1023" spans="1:16" x14ac:dyDescent="0.25">
      <c r="A1023" s="40">
        <v>4</v>
      </c>
      <c r="B1023" s="40">
        <v>13</v>
      </c>
      <c r="C1023" s="28">
        <v>13.9632659</v>
      </c>
      <c r="D1023" s="28">
        <v>6.8612699599999996</v>
      </c>
      <c r="E1023" s="28">
        <v>28.8253077</v>
      </c>
      <c r="F1023" s="28">
        <v>26.010363399999999</v>
      </c>
      <c r="G1023" s="28">
        <v>19.860277199999999</v>
      </c>
      <c r="H1023" s="28">
        <v>65.346944899999997</v>
      </c>
      <c r="I1023" s="28">
        <v>52.0721694</v>
      </c>
      <c r="J1023" s="28">
        <v>985.06470000000002</v>
      </c>
      <c r="K1023" s="28">
        <v>926.75966200000005</v>
      </c>
      <c r="L1023" s="28">
        <v>5.5966468799999998</v>
      </c>
      <c r="M1023" s="28">
        <v>119.24597300000001</v>
      </c>
      <c r="N1023" s="28">
        <v>76.273273399999994</v>
      </c>
      <c r="O1023" s="28">
        <v>989.35276499999998</v>
      </c>
      <c r="P1023" s="28">
        <v>1010.64724</v>
      </c>
    </row>
    <row r="1024" spans="1:16" x14ac:dyDescent="0.25">
      <c r="A1024" s="40">
        <v>4</v>
      </c>
      <c r="B1024" s="40">
        <v>14</v>
      </c>
      <c r="C1024" s="28">
        <v>13.944557100000001</v>
      </c>
      <c r="D1024" s="28">
        <v>6.8843367100000004</v>
      </c>
      <c r="E1024" s="28">
        <v>28.911133400000001</v>
      </c>
      <c r="F1024" s="28">
        <v>25.993304999999999</v>
      </c>
      <c r="G1024" s="28">
        <v>19.894629599999998</v>
      </c>
      <c r="H1024" s="28">
        <v>65.282831299999998</v>
      </c>
      <c r="I1024" s="28">
        <v>52.607246600000003</v>
      </c>
      <c r="J1024" s="28">
        <v>979.15888299999995</v>
      </c>
      <c r="K1024" s="28">
        <v>921.98699699999997</v>
      </c>
      <c r="L1024" s="28">
        <v>5.5949938399999999</v>
      </c>
      <c r="M1024" s="28">
        <v>119.356611</v>
      </c>
      <c r="N1024" s="28">
        <v>75.472675600000002</v>
      </c>
      <c r="O1024" s="28">
        <v>989.06054800000004</v>
      </c>
      <c r="P1024" s="28">
        <v>1010.93945</v>
      </c>
    </row>
    <row r="1025" spans="1:16" x14ac:dyDescent="0.25">
      <c r="A1025" s="40">
        <v>4</v>
      </c>
      <c r="B1025" s="40">
        <v>15</v>
      </c>
      <c r="C1025" s="28">
        <v>13.975148900000001</v>
      </c>
      <c r="D1025" s="28">
        <v>6.8600287</v>
      </c>
      <c r="E1025" s="28">
        <v>29.098227999999999</v>
      </c>
      <c r="F1025" s="28">
        <v>25.884328799999999</v>
      </c>
      <c r="G1025" s="28">
        <v>19.957820999999999</v>
      </c>
      <c r="H1025" s="28">
        <v>65.536182299999993</v>
      </c>
      <c r="I1025" s="28">
        <v>52.913920699999998</v>
      </c>
      <c r="J1025" s="28">
        <v>985.89673400000004</v>
      </c>
      <c r="K1025" s="28">
        <v>922.18400099999997</v>
      </c>
      <c r="L1025" s="28">
        <v>5.6660828800000003</v>
      </c>
      <c r="M1025" s="28">
        <v>119.402576</v>
      </c>
      <c r="N1025" s="28">
        <v>76.077683399999998</v>
      </c>
      <c r="O1025" s="28">
        <v>1001.62738</v>
      </c>
      <c r="P1025" s="28">
        <v>998.37261699999999</v>
      </c>
    </row>
    <row r="1026" spans="1:16" x14ac:dyDescent="0.25">
      <c r="A1026" s="40">
        <v>4</v>
      </c>
      <c r="B1026" s="40">
        <v>16</v>
      </c>
      <c r="C1026" s="28">
        <v>13.9938775</v>
      </c>
      <c r="D1026" s="28">
        <v>6.8886125299999996</v>
      </c>
      <c r="E1026" s="28">
        <v>29.0049627</v>
      </c>
      <c r="F1026" s="28">
        <v>25.984047400000001</v>
      </c>
      <c r="G1026" s="28">
        <v>19.921197500000002</v>
      </c>
      <c r="H1026" s="28">
        <v>65.202755600000003</v>
      </c>
      <c r="I1026" s="28">
        <v>53.695044199999998</v>
      </c>
      <c r="J1026" s="28">
        <v>980.06188499999996</v>
      </c>
      <c r="K1026" s="28">
        <v>913.98341000000005</v>
      </c>
      <c r="L1026" s="28">
        <v>5.66472905</v>
      </c>
      <c r="M1026" s="28">
        <v>119.20257599999999</v>
      </c>
      <c r="N1026" s="28">
        <v>76.835474500000004</v>
      </c>
      <c r="O1026" s="28">
        <v>1001.38806</v>
      </c>
      <c r="P1026" s="28">
        <v>998.611941</v>
      </c>
    </row>
    <row r="1027" spans="1:16" x14ac:dyDescent="0.25">
      <c r="A1027" s="40">
        <v>4</v>
      </c>
      <c r="B1027" s="40">
        <v>17</v>
      </c>
      <c r="C1027" s="28">
        <v>13.8332754</v>
      </c>
      <c r="D1027" s="28">
        <v>6.9641175200000003</v>
      </c>
      <c r="E1027" s="28">
        <v>28.778274100000001</v>
      </c>
      <c r="F1027" s="28">
        <v>26.025157499999999</v>
      </c>
      <c r="G1027" s="28">
        <v>19.749758199999999</v>
      </c>
      <c r="H1027" s="28">
        <v>65.840060300000005</v>
      </c>
      <c r="I1027" s="28">
        <v>53.878147499999997</v>
      </c>
      <c r="J1027" s="28">
        <v>985.76306399999999</v>
      </c>
      <c r="K1027" s="28">
        <v>917.187049</v>
      </c>
      <c r="L1027" s="28">
        <v>5.62580714</v>
      </c>
      <c r="M1027" s="28">
        <v>119.262829</v>
      </c>
      <c r="N1027" s="28">
        <v>78.875765299999998</v>
      </c>
      <c r="O1027" s="28">
        <v>994.50759900000003</v>
      </c>
      <c r="P1027" s="28">
        <v>1005.4924</v>
      </c>
    </row>
    <row r="1028" spans="1:16" x14ac:dyDescent="0.25">
      <c r="A1028" s="40">
        <v>4</v>
      </c>
      <c r="B1028" s="40">
        <v>18</v>
      </c>
      <c r="C1028" s="28">
        <v>13.806011099999999</v>
      </c>
      <c r="D1028" s="28">
        <v>6.9380594499999999</v>
      </c>
      <c r="E1028" s="28">
        <v>28.836202199999999</v>
      </c>
      <c r="F1028" s="28">
        <v>26.016538400000002</v>
      </c>
      <c r="G1028" s="28">
        <v>19.728520799999998</v>
      </c>
      <c r="H1028" s="28">
        <v>66.087052099999994</v>
      </c>
      <c r="I1028" s="28">
        <v>53.873832899999996</v>
      </c>
      <c r="J1028" s="28">
        <v>980.31914300000005</v>
      </c>
      <c r="K1028" s="28">
        <v>913.80159800000001</v>
      </c>
      <c r="L1028" s="28">
        <v>5.6339275799999999</v>
      </c>
      <c r="M1028" s="28">
        <v>118.80558000000001</v>
      </c>
      <c r="N1028" s="28">
        <v>76.920496499999999</v>
      </c>
      <c r="O1028" s="28">
        <v>995.94309799999996</v>
      </c>
      <c r="P1028" s="28">
        <v>1004.0569</v>
      </c>
    </row>
    <row r="1029" spans="1:16" x14ac:dyDescent="0.25">
      <c r="A1029" s="40">
        <v>4</v>
      </c>
      <c r="B1029" s="40">
        <v>19</v>
      </c>
      <c r="C1029" s="28">
        <v>13.912330600000001</v>
      </c>
      <c r="D1029" s="28">
        <v>6.9374473800000001</v>
      </c>
      <c r="E1029" s="28">
        <v>28.7573395</v>
      </c>
      <c r="F1029" s="28">
        <v>25.965989700000002</v>
      </c>
      <c r="G1029" s="28">
        <v>19.898266499999998</v>
      </c>
      <c r="H1029" s="28">
        <v>65.661435400000002</v>
      </c>
      <c r="I1029" s="28">
        <v>53.201587000000004</v>
      </c>
      <c r="J1029" s="28">
        <v>986.53051700000003</v>
      </c>
      <c r="K1029" s="28">
        <v>913.977034</v>
      </c>
      <c r="L1029" s="28">
        <v>5.5915984500000002</v>
      </c>
      <c r="M1029" s="28">
        <v>118.238364</v>
      </c>
      <c r="N1029" s="28">
        <v>75.732036699999995</v>
      </c>
      <c r="O1029" s="28">
        <v>988.46032400000001</v>
      </c>
      <c r="P1029" s="28">
        <v>1011.53968</v>
      </c>
    </row>
    <row r="1030" spans="1:16" x14ac:dyDescent="0.25">
      <c r="A1030" s="40">
        <v>4</v>
      </c>
      <c r="B1030" s="40">
        <v>20</v>
      </c>
      <c r="C1030" s="28">
        <v>13.7513579</v>
      </c>
      <c r="D1030" s="28">
        <v>6.87708546</v>
      </c>
      <c r="E1030" s="28">
        <v>28.615955199999998</v>
      </c>
      <c r="F1030" s="28">
        <v>26.029702799999999</v>
      </c>
      <c r="G1030" s="28">
        <v>19.548246800000001</v>
      </c>
      <c r="H1030" s="28">
        <v>65.874530699999994</v>
      </c>
      <c r="I1030" s="28">
        <v>53.028731800000003</v>
      </c>
      <c r="J1030" s="28">
        <v>981.19441900000004</v>
      </c>
      <c r="K1030" s="28">
        <v>912.36141299999997</v>
      </c>
      <c r="L1030" s="28">
        <v>5.5937976599999999</v>
      </c>
      <c r="M1030" s="28">
        <v>117.67431500000001</v>
      </c>
      <c r="N1030" s="28">
        <v>76.444289900000001</v>
      </c>
      <c r="O1030" s="28">
        <v>988.84909200000004</v>
      </c>
      <c r="P1030" s="28">
        <v>1011.15091</v>
      </c>
    </row>
    <row r="1031" spans="1:16" x14ac:dyDescent="0.25">
      <c r="A1031" s="40">
        <v>4</v>
      </c>
      <c r="B1031" s="40">
        <v>21</v>
      </c>
      <c r="C1031" s="28">
        <v>13.762070100000001</v>
      </c>
      <c r="D1031" s="28">
        <v>6.9035095200000001</v>
      </c>
      <c r="E1031" s="28">
        <v>28.3311289</v>
      </c>
      <c r="F1031" s="28">
        <v>26.000402399999999</v>
      </c>
      <c r="G1031" s="28">
        <v>19.794644699999999</v>
      </c>
      <c r="H1031" s="28">
        <v>65.2856041</v>
      </c>
      <c r="I1031" s="28">
        <v>52.8745805</v>
      </c>
      <c r="J1031" s="28">
        <v>986.51282500000002</v>
      </c>
      <c r="K1031" s="28">
        <v>913.76439000000005</v>
      </c>
      <c r="L1031" s="28">
        <v>5.6049412399999996</v>
      </c>
      <c r="M1031" s="28">
        <v>117.42303200000001</v>
      </c>
      <c r="N1031" s="28">
        <v>77.356027400000002</v>
      </c>
      <c r="O1031" s="28">
        <v>990.81900900000005</v>
      </c>
      <c r="P1031" s="28">
        <v>1009.18099</v>
      </c>
    </row>
    <row r="1032" spans="1:16" x14ac:dyDescent="0.25">
      <c r="A1032" s="40">
        <v>4</v>
      </c>
      <c r="B1032" s="40">
        <v>22</v>
      </c>
      <c r="C1032" s="28">
        <v>13.842978499999999</v>
      </c>
      <c r="D1032" s="28">
        <v>6.9689569999999996</v>
      </c>
      <c r="E1032" s="28">
        <v>28.105501700000001</v>
      </c>
      <c r="F1032" s="28">
        <v>25.952760399999999</v>
      </c>
      <c r="G1032" s="28">
        <v>19.736773100000001</v>
      </c>
      <c r="H1032" s="28">
        <v>66.296681699999993</v>
      </c>
      <c r="I1032" s="28">
        <v>53.092155300000002</v>
      </c>
      <c r="J1032" s="28">
        <v>982.44813499999998</v>
      </c>
      <c r="K1032" s="28">
        <v>912.85570700000005</v>
      </c>
      <c r="L1032" s="28">
        <v>5.5687119200000001</v>
      </c>
      <c r="M1032" s="28">
        <v>117.53656700000001</v>
      </c>
      <c r="N1032" s="28">
        <v>77.570400800000002</v>
      </c>
      <c r="O1032" s="28">
        <v>984.414536</v>
      </c>
      <c r="P1032" s="28">
        <v>1015.58546</v>
      </c>
    </row>
    <row r="1033" spans="1:16" x14ac:dyDescent="0.25">
      <c r="A1033" s="40">
        <v>4</v>
      </c>
      <c r="B1033" s="40">
        <v>23</v>
      </c>
      <c r="C1033" s="28">
        <v>13.8497202</v>
      </c>
      <c r="D1033" s="28">
        <v>6.9861606900000002</v>
      </c>
      <c r="E1033" s="28">
        <v>28.380945000000001</v>
      </c>
      <c r="F1033" s="28">
        <v>26.211231000000002</v>
      </c>
      <c r="G1033" s="28">
        <v>20.110433199999999</v>
      </c>
      <c r="H1033" s="28">
        <v>66.419154599999999</v>
      </c>
      <c r="I1033" s="28">
        <v>53.301195300000003</v>
      </c>
      <c r="J1033" s="28">
        <v>986.45432300000004</v>
      </c>
      <c r="K1033" s="28">
        <v>917.68851900000004</v>
      </c>
      <c r="L1033" s="28">
        <v>5.5948384200000003</v>
      </c>
      <c r="M1033" s="28">
        <v>118.24784099999999</v>
      </c>
      <c r="N1033" s="28">
        <v>77.828061099999999</v>
      </c>
      <c r="O1033" s="28">
        <v>989.03307299999994</v>
      </c>
      <c r="P1033" s="28">
        <v>1010.96693</v>
      </c>
    </row>
    <row r="1034" spans="1:16" x14ac:dyDescent="0.25">
      <c r="A1034" s="40">
        <v>4</v>
      </c>
      <c r="B1034" s="40">
        <v>24</v>
      </c>
      <c r="C1034" s="28">
        <v>13.828211700000001</v>
      </c>
      <c r="D1034" s="28">
        <v>7.0019735399999998</v>
      </c>
      <c r="E1034" s="28">
        <v>28.316806799999998</v>
      </c>
      <c r="F1034" s="28">
        <v>26.0929316</v>
      </c>
      <c r="G1034" s="28">
        <v>20.473792199999998</v>
      </c>
      <c r="H1034" s="28">
        <v>66.346322299999997</v>
      </c>
      <c r="I1034" s="28">
        <v>52.944694499999997</v>
      </c>
      <c r="J1034" s="28">
        <v>981.33862199999999</v>
      </c>
      <c r="K1034" s="28">
        <v>917.976899</v>
      </c>
      <c r="L1034" s="28">
        <v>5.6002269299999998</v>
      </c>
      <c r="M1034" s="28">
        <v>118.420208</v>
      </c>
      <c r="N1034" s="28">
        <v>77.019317700000002</v>
      </c>
      <c r="O1034" s="28">
        <v>989.98563300000001</v>
      </c>
      <c r="P1034" s="28">
        <v>1010.01437</v>
      </c>
    </row>
    <row r="1035" spans="1:16" x14ac:dyDescent="0.25">
      <c r="A1035" s="40">
        <v>4</v>
      </c>
      <c r="B1035" s="40">
        <v>25</v>
      </c>
      <c r="C1035" s="28">
        <v>13.9014737</v>
      </c>
      <c r="D1035" s="28">
        <v>7.0235473800000001</v>
      </c>
      <c r="E1035" s="28">
        <v>28.281678400000001</v>
      </c>
      <c r="F1035" s="28">
        <v>25.868792899999999</v>
      </c>
      <c r="G1035" s="28">
        <v>20.494030800000001</v>
      </c>
      <c r="H1035" s="28">
        <v>66.179204200000001</v>
      </c>
      <c r="I1035" s="28">
        <v>52.7616443</v>
      </c>
      <c r="J1035" s="28">
        <v>986.96623199999999</v>
      </c>
      <c r="K1035" s="28">
        <v>919.07098599999995</v>
      </c>
      <c r="L1035" s="28">
        <v>5.5494129399999998</v>
      </c>
      <c r="M1035" s="28">
        <v>117.987371</v>
      </c>
      <c r="N1035" s="28">
        <v>77.986103700000001</v>
      </c>
      <c r="O1035" s="28">
        <v>981.00293899999997</v>
      </c>
      <c r="P1035" s="28">
        <v>1018.99706</v>
      </c>
    </row>
    <row r="1036" spans="1:16" x14ac:dyDescent="0.25">
      <c r="A1036" s="40">
        <v>4</v>
      </c>
      <c r="B1036" s="40">
        <v>26</v>
      </c>
      <c r="C1036" s="28">
        <v>13.8674108</v>
      </c>
      <c r="D1036" s="28">
        <v>7.0375519400000002</v>
      </c>
      <c r="E1036" s="28">
        <v>28.164078700000001</v>
      </c>
      <c r="F1036" s="28">
        <v>25.6885707</v>
      </c>
      <c r="G1036" s="28">
        <v>20.7025252</v>
      </c>
      <c r="H1036" s="28">
        <v>64.792165400000002</v>
      </c>
      <c r="I1036" s="28">
        <v>53.0472307</v>
      </c>
      <c r="J1036" s="28">
        <v>981.75408800000002</v>
      </c>
      <c r="K1036" s="28">
        <v>910.26307499999996</v>
      </c>
      <c r="L1036" s="28">
        <v>5.5517504799999999</v>
      </c>
      <c r="M1036" s="28">
        <v>117.619365</v>
      </c>
      <c r="N1036" s="28">
        <v>79.449945999999997</v>
      </c>
      <c r="O1036" s="28">
        <v>981.41615999999999</v>
      </c>
      <c r="P1036" s="28">
        <v>1018.58384</v>
      </c>
    </row>
    <row r="1037" spans="1:16" x14ac:dyDescent="0.25">
      <c r="A1037" s="40">
        <v>4</v>
      </c>
      <c r="B1037" s="40">
        <v>27</v>
      </c>
      <c r="C1037" s="28">
        <v>13.7432219</v>
      </c>
      <c r="D1037" s="28">
        <v>6.9680740999999999</v>
      </c>
      <c r="E1037" s="28">
        <v>28.014621000000002</v>
      </c>
      <c r="F1037" s="28">
        <v>26.028593799999999</v>
      </c>
      <c r="G1037" s="28">
        <v>20.922937900000001</v>
      </c>
      <c r="H1037" s="28">
        <v>65.366841500000007</v>
      </c>
      <c r="I1037" s="28">
        <v>53.338596899999999</v>
      </c>
      <c r="J1037" s="28">
        <v>985.16413399999999</v>
      </c>
      <c r="K1037" s="28">
        <v>911.84739200000001</v>
      </c>
      <c r="L1037" s="28">
        <v>5.6289621199999997</v>
      </c>
      <c r="M1037" s="28">
        <v>117.56308900000001</v>
      </c>
      <c r="N1037" s="28">
        <v>77.883230699999999</v>
      </c>
      <c r="O1037" s="28">
        <v>995.06532300000003</v>
      </c>
      <c r="P1037" s="28">
        <v>1004.93468</v>
      </c>
    </row>
    <row r="1038" spans="1:16" x14ac:dyDescent="0.25">
      <c r="A1038" s="40">
        <v>4</v>
      </c>
      <c r="B1038" s="40">
        <v>28</v>
      </c>
      <c r="C1038" s="28">
        <v>13.785629800000001</v>
      </c>
      <c r="D1038" s="28">
        <v>7.0111771000000003</v>
      </c>
      <c r="E1038" s="28">
        <v>28.030254200000002</v>
      </c>
      <c r="F1038" s="28">
        <v>26.126087500000001</v>
      </c>
      <c r="G1038" s="28">
        <v>21.087050600000001</v>
      </c>
      <c r="H1038" s="28">
        <v>65.116212700000005</v>
      </c>
      <c r="I1038" s="28">
        <v>54.4495279</v>
      </c>
      <c r="J1038" s="28">
        <v>980.044803</v>
      </c>
      <c r="K1038" s="28">
        <v>909.65571299999999</v>
      </c>
      <c r="L1038" s="28">
        <v>5.6220492999999996</v>
      </c>
      <c r="M1038" s="28">
        <v>118.391254</v>
      </c>
      <c r="N1038" s="28">
        <v>78.788853700000004</v>
      </c>
      <c r="O1038" s="28">
        <v>993.84330399999999</v>
      </c>
      <c r="P1038" s="28">
        <v>1006.1567</v>
      </c>
    </row>
    <row r="1039" spans="1:16" x14ac:dyDescent="0.25">
      <c r="A1039" s="40">
        <v>4</v>
      </c>
      <c r="B1039" s="40">
        <v>29</v>
      </c>
      <c r="C1039" s="28">
        <v>13.700162300000001</v>
      </c>
      <c r="D1039" s="28">
        <v>7.0056742400000003</v>
      </c>
      <c r="E1039" s="28">
        <v>28.017354300000001</v>
      </c>
      <c r="F1039" s="28">
        <v>26.269318699999999</v>
      </c>
      <c r="G1039" s="28">
        <v>21.127951599999999</v>
      </c>
      <c r="H1039" s="28">
        <v>65.245414299999993</v>
      </c>
      <c r="I1039" s="28">
        <v>54.341889799999997</v>
      </c>
      <c r="J1039" s="28">
        <v>984.11685499999999</v>
      </c>
      <c r="K1039" s="28">
        <v>914.88167799999997</v>
      </c>
      <c r="L1039" s="28">
        <v>5.6107338799999997</v>
      </c>
      <c r="M1039" s="28">
        <v>118.796539</v>
      </c>
      <c r="N1039" s="28">
        <v>78.843784900000003</v>
      </c>
      <c r="O1039" s="28">
        <v>991.84300900000005</v>
      </c>
      <c r="P1039" s="28">
        <v>1008.15699</v>
      </c>
    </row>
    <row r="1040" spans="1:16" x14ac:dyDescent="0.25">
      <c r="A1040" s="40">
        <v>4</v>
      </c>
      <c r="B1040" s="40">
        <v>30</v>
      </c>
      <c r="C1040" s="28">
        <v>13.7777265</v>
      </c>
      <c r="D1040" s="28">
        <v>7.0657004199999998</v>
      </c>
      <c r="E1040" s="28">
        <v>27.987202400000001</v>
      </c>
      <c r="F1040" s="28">
        <v>26.3579382</v>
      </c>
      <c r="G1040" s="28">
        <v>21.250818800000001</v>
      </c>
      <c r="H1040" s="28">
        <v>65.013273299999994</v>
      </c>
      <c r="I1040" s="28">
        <v>54.159087399999997</v>
      </c>
      <c r="J1040" s="28">
        <v>979.70564000000002</v>
      </c>
      <c r="K1040" s="28">
        <v>911.85852899999998</v>
      </c>
      <c r="L1040" s="28">
        <v>5.5942640199999998</v>
      </c>
      <c r="M1040" s="28">
        <v>119.24715</v>
      </c>
      <c r="N1040" s="28">
        <v>78.233745400000004</v>
      </c>
      <c r="O1040" s="28">
        <v>988.93153199999995</v>
      </c>
      <c r="P1040" s="28">
        <v>1011.06847</v>
      </c>
    </row>
    <row r="1041" spans="1:16" x14ac:dyDescent="0.25">
      <c r="A1041" s="40">
        <v>4</v>
      </c>
      <c r="B1041" s="40">
        <v>31</v>
      </c>
      <c r="C1041" s="28">
        <v>13.777231199999999</v>
      </c>
      <c r="D1041" s="28">
        <v>7.0670256900000004</v>
      </c>
      <c r="E1041" s="28">
        <v>27.958792200000001</v>
      </c>
      <c r="F1041" s="28">
        <v>26.238516400000002</v>
      </c>
      <c r="G1041" s="28">
        <v>21.193832400000002</v>
      </c>
      <c r="H1041" s="28">
        <v>64.2075198</v>
      </c>
      <c r="I1041" s="28">
        <v>54.135186599999997</v>
      </c>
      <c r="J1041" s="28">
        <v>984.41060900000002</v>
      </c>
      <c r="K1041" s="28">
        <v>905.96098900000004</v>
      </c>
      <c r="L1041" s="28">
        <v>5.5677277399999996</v>
      </c>
      <c r="M1041" s="28">
        <v>119.06759</v>
      </c>
      <c r="N1041" s="28">
        <v>77.682436899999999</v>
      </c>
      <c r="O1041" s="28">
        <v>984.24055599999997</v>
      </c>
      <c r="P1041" s="28">
        <v>1015.75944</v>
      </c>
    </row>
    <row r="1042" spans="1:16" x14ac:dyDescent="0.25">
      <c r="A1042" s="40">
        <v>4</v>
      </c>
      <c r="B1042" s="40">
        <v>32</v>
      </c>
      <c r="C1042" s="28">
        <v>13.7934012</v>
      </c>
      <c r="D1042" s="28">
        <v>7.0379021399999999</v>
      </c>
      <c r="E1042" s="28">
        <v>27.931363000000001</v>
      </c>
      <c r="F1042" s="28">
        <v>26.431380999999998</v>
      </c>
      <c r="G1042" s="28">
        <v>21.374631399999998</v>
      </c>
      <c r="H1042" s="28">
        <v>64.558325999999994</v>
      </c>
      <c r="I1042" s="28">
        <v>54.130731599999997</v>
      </c>
      <c r="J1042" s="28">
        <v>979.61346400000002</v>
      </c>
      <c r="K1042" s="28">
        <v>905.62798599999996</v>
      </c>
      <c r="L1042" s="28">
        <v>5.5358594400000003</v>
      </c>
      <c r="M1042" s="28">
        <v>119.30171</v>
      </c>
      <c r="N1042" s="28">
        <v>77.801145000000005</v>
      </c>
      <c r="O1042" s="28">
        <v>978.60700599999996</v>
      </c>
      <c r="P1042" s="28">
        <v>1021.3929900000001</v>
      </c>
    </row>
    <row r="1043" spans="1:16" x14ac:dyDescent="0.25">
      <c r="A1043" s="40">
        <v>4</v>
      </c>
      <c r="B1043" s="40">
        <v>33</v>
      </c>
      <c r="C1043" s="28">
        <v>13.746901299999999</v>
      </c>
      <c r="D1043" s="28">
        <v>6.9949322900000004</v>
      </c>
      <c r="E1043" s="28">
        <v>27.570211499999999</v>
      </c>
      <c r="F1043" s="28">
        <v>26.3715856</v>
      </c>
      <c r="G1043" s="28">
        <v>21.459372200000001</v>
      </c>
      <c r="H1043" s="28">
        <v>64.095561000000004</v>
      </c>
      <c r="I1043" s="28">
        <v>53.849505399999998</v>
      </c>
      <c r="J1043" s="28">
        <v>983.949612</v>
      </c>
      <c r="K1043" s="28">
        <v>904.47955000000002</v>
      </c>
      <c r="L1043" s="28">
        <v>5.5840110000000003</v>
      </c>
      <c r="M1043" s="28">
        <v>118.617363</v>
      </c>
      <c r="N1043" s="28">
        <v>78.449850999999995</v>
      </c>
      <c r="O1043" s="28">
        <v>987.11904500000003</v>
      </c>
      <c r="P1043" s="28">
        <v>1012.88095</v>
      </c>
    </row>
    <row r="1044" spans="1:16" x14ac:dyDescent="0.25">
      <c r="A1044" s="40">
        <v>4</v>
      </c>
      <c r="B1044" s="40">
        <v>34</v>
      </c>
      <c r="C1044" s="28">
        <v>13.6248285</v>
      </c>
      <c r="D1044" s="28">
        <v>6.9270642100000002</v>
      </c>
      <c r="E1044" s="28">
        <v>27.272051900000001</v>
      </c>
      <c r="F1044" s="28">
        <v>26.248593400000001</v>
      </c>
      <c r="G1044" s="28">
        <v>21.5174257</v>
      </c>
      <c r="H1044" s="28">
        <v>64.449641900000003</v>
      </c>
      <c r="I1044" s="28">
        <v>55.195194000000001</v>
      </c>
      <c r="J1044" s="28">
        <v>978.76240199999995</v>
      </c>
      <c r="K1044" s="28">
        <v>900.24309600000004</v>
      </c>
      <c r="L1044" s="28">
        <v>5.7300879199999999</v>
      </c>
      <c r="M1044" s="28">
        <v>118.801936</v>
      </c>
      <c r="N1044" s="28">
        <v>78.571822400000002</v>
      </c>
      <c r="O1044" s="28">
        <v>1012.94194</v>
      </c>
      <c r="P1044" s="28">
        <v>987.05806399999994</v>
      </c>
    </row>
    <row r="1045" spans="1:16" x14ac:dyDescent="0.25">
      <c r="A1045" s="40">
        <v>4</v>
      </c>
      <c r="B1045" s="40">
        <v>35</v>
      </c>
      <c r="C1045" s="28">
        <v>13.7005053</v>
      </c>
      <c r="D1045" s="28">
        <v>6.8421815099999996</v>
      </c>
      <c r="E1045" s="28">
        <v>26.7514562</v>
      </c>
      <c r="F1045" s="28">
        <v>26.0094639</v>
      </c>
      <c r="G1045" s="28">
        <v>21.3958762</v>
      </c>
      <c r="H1045" s="28">
        <v>63.826193799999999</v>
      </c>
      <c r="I1045" s="28">
        <v>55.161887499999999</v>
      </c>
      <c r="J1045" s="28">
        <v>984.24924599999997</v>
      </c>
      <c r="K1045" s="28">
        <v>902.38826100000006</v>
      </c>
      <c r="L1045" s="28">
        <v>5.7414085799999999</v>
      </c>
      <c r="M1045" s="28">
        <v>117.968807</v>
      </c>
      <c r="N1045" s="28">
        <v>78.339262399999996</v>
      </c>
      <c r="O1045" s="28">
        <v>1014.94316</v>
      </c>
      <c r="P1045" s="28">
        <v>985.05684199999996</v>
      </c>
    </row>
    <row r="1046" spans="1:16" x14ac:dyDescent="0.25">
      <c r="A1046" s="40">
        <v>4</v>
      </c>
      <c r="B1046" s="40">
        <v>36</v>
      </c>
      <c r="C1046" s="28">
        <v>13.7016115</v>
      </c>
      <c r="D1046" s="28">
        <v>6.8701966800000003</v>
      </c>
      <c r="E1046" s="28">
        <v>26.679936399999999</v>
      </c>
      <c r="F1046" s="28">
        <v>25.8794471</v>
      </c>
      <c r="G1046" s="28">
        <v>21.363755399999999</v>
      </c>
      <c r="H1046" s="28">
        <v>64.639402500000003</v>
      </c>
      <c r="I1046" s="28">
        <v>55.400621100000002</v>
      </c>
      <c r="J1046" s="28">
        <v>980.21161500000005</v>
      </c>
      <c r="K1046" s="28">
        <v>902.09665800000005</v>
      </c>
      <c r="L1046" s="28">
        <v>5.6904088399999999</v>
      </c>
      <c r="M1046" s="28">
        <v>117.69892</v>
      </c>
      <c r="N1046" s="28">
        <v>77.495737399999996</v>
      </c>
      <c r="O1046" s="28">
        <v>1005.92763</v>
      </c>
      <c r="P1046" s="28">
        <v>994.07237099999998</v>
      </c>
    </row>
    <row r="1047" spans="1:16" x14ac:dyDescent="0.25">
      <c r="A1047" s="40">
        <v>4</v>
      </c>
      <c r="B1047" s="40">
        <v>37</v>
      </c>
      <c r="C1047" s="28">
        <v>13.623055000000001</v>
      </c>
      <c r="D1047" s="28">
        <v>6.8690335600000001</v>
      </c>
      <c r="E1047" s="28">
        <v>26.275971500000001</v>
      </c>
      <c r="F1047" s="28">
        <v>25.816221299999999</v>
      </c>
      <c r="G1047" s="28">
        <v>21.6104336</v>
      </c>
      <c r="H1047" s="28">
        <v>65.011710899999997</v>
      </c>
      <c r="I1047" s="28">
        <v>54.915537999999998</v>
      </c>
      <c r="J1047" s="28">
        <v>984.20166500000005</v>
      </c>
      <c r="K1047" s="28">
        <v>906.48126600000001</v>
      </c>
      <c r="L1047" s="28">
        <v>5.6621975899999999</v>
      </c>
      <c r="M1047" s="28">
        <v>117.466672</v>
      </c>
      <c r="N1047" s="28">
        <v>77.256540000000001</v>
      </c>
      <c r="O1047" s="28">
        <v>1000.94056</v>
      </c>
      <c r="P1047" s="28">
        <v>999.05944199999999</v>
      </c>
    </row>
    <row r="1048" spans="1:16" x14ac:dyDescent="0.25">
      <c r="A1048" s="40">
        <v>4</v>
      </c>
      <c r="B1048" s="40">
        <v>38</v>
      </c>
      <c r="C1048" s="28">
        <v>13.668504199999999</v>
      </c>
      <c r="D1048" s="28">
        <v>6.8876936000000004</v>
      </c>
      <c r="E1048" s="28">
        <v>26.353712699999999</v>
      </c>
      <c r="F1048" s="28">
        <v>25.568408999999999</v>
      </c>
      <c r="G1048" s="28">
        <v>21.738824999999999</v>
      </c>
      <c r="H1048" s="28">
        <v>65.291218599999993</v>
      </c>
      <c r="I1048" s="28">
        <v>54.973007500000001</v>
      </c>
      <c r="J1048" s="28">
        <v>980.34119199999998</v>
      </c>
      <c r="K1048" s="28">
        <v>901.20360800000003</v>
      </c>
      <c r="L1048" s="28">
        <v>5.7156965399999997</v>
      </c>
      <c r="M1048" s="28">
        <v>116.792309</v>
      </c>
      <c r="N1048" s="28">
        <v>77.946070800000001</v>
      </c>
      <c r="O1048" s="28">
        <v>1010.39789</v>
      </c>
      <c r="P1048" s="28">
        <v>989.60211300000003</v>
      </c>
    </row>
    <row r="1049" spans="1:16" x14ac:dyDescent="0.25">
      <c r="A1049" s="40">
        <v>4</v>
      </c>
      <c r="B1049" s="40">
        <v>39</v>
      </c>
      <c r="C1049" s="28">
        <v>13.8019356</v>
      </c>
      <c r="D1049" s="28">
        <v>6.8669523999999997</v>
      </c>
      <c r="E1049" s="28">
        <v>26.267089899999998</v>
      </c>
      <c r="F1049" s="28">
        <v>25.586418099999999</v>
      </c>
      <c r="G1049" s="28">
        <v>21.756088699999999</v>
      </c>
      <c r="H1049" s="28">
        <v>63.985881399999997</v>
      </c>
      <c r="I1049" s="28">
        <v>54.959815800000001</v>
      </c>
      <c r="J1049" s="28">
        <v>985.048858</v>
      </c>
      <c r="K1049" s="28">
        <v>894.82856900000002</v>
      </c>
      <c r="L1049" s="28">
        <v>5.5811736099999996</v>
      </c>
      <c r="M1049" s="28">
        <v>116.87415799999999</v>
      </c>
      <c r="N1049" s="28">
        <v>76.240382600000004</v>
      </c>
      <c r="O1049" s="28">
        <v>986.61746400000004</v>
      </c>
      <c r="P1049" s="28">
        <v>1013.3825399999999</v>
      </c>
    </row>
    <row r="1050" spans="1:16" x14ac:dyDescent="0.25">
      <c r="A1050" s="40">
        <v>4</v>
      </c>
      <c r="B1050" s="40">
        <v>40</v>
      </c>
      <c r="C1050" s="28">
        <v>13.897482699999999</v>
      </c>
      <c r="D1050" s="28">
        <v>6.8891096100000002</v>
      </c>
      <c r="E1050" s="28">
        <v>26.474142100000002</v>
      </c>
      <c r="F1050" s="28">
        <v>25.728150599999999</v>
      </c>
      <c r="G1050" s="28">
        <v>21.9526763</v>
      </c>
      <c r="H1050" s="28">
        <v>64.832342999999995</v>
      </c>
      <c r="I1050" s="28">
        <v>55.5696224</v>
      </c>
      <c r="J1050" s="28">
        <v>980.89775899999995</v>
      </c>
      <c r="K1050" s="28">
        <v>893.59176000000002</v>
      </c>
      <c r="L1050" s="28">
        <v>5.5250291799999998</v>
      </c>
      <c r="M1050" s="28">
        <v>117.50506900000001</v>
      </c>
      <c r="N1050" s="28">
        <v>74.432986099999994</v>
      </c>
      <c r="O1050" s="28">
        <v>976.69247499999994</v>
      </c>
      <c r="P1050" s="28">
        <v>1023.30752</v>
      </c>
    </row>
    <row r="1051" spans="1:16" x14ac:dyDescent="0.25">
      <c r="A1051" s="40">
        <v>4</v>
      </c>
      <c r="B1051" s="40">
        <v>41</v>
      </c>
      <c r="C1051" s="28">
        <v>13.906620200000001</v>
      </c>
      <c r="D1051" s="28">
        <v>6.8591184099999998</v>
      </c>
      <c r="E1051" s="28">
        <v>26.738415199999999</v>
      </c>
      <c r="F1051" s="28">
        <v>26.1881615</v>
      </c>
      <c r="G1051" s="28">
        <v>21.872903600000001</v>
      </c>
      <c r="H1051" s="28">
        <v>65.333236400000004</v>
      </c>
      <c r="I1051" s="28">
        <v>56.050820700000003</v>
      </c>
      <c r="J1051" s="28">
        <v>984.46815800000002</v>
      </c>
      <c r="K1051" s="28">
        <v>890.27104599999996</v>
      </c>
      <c r="L1051" s="28">
        <v>5.5900175000000001</v>
      </c>
      <c r="M1051" s="28">
        <v>118.355474</v>
      </c>
      <c r="N1051" s="28">
        <v>73.8841228</v>
      </c>
      <c r="O1051" s="28">
        <v>988.18084999999996</v>
      </c>
      <c r="P1051" s="28">
        <v>1011.81915</v>
      </c>
    </row>
    <row r="1052" spans="1:16" x14ac:dyDescent="0.25">
      <c r="A1052" s="40">
        <v>4</v>
      </c>
      <c r="B1052" s="40">
        <v>42</v>
      </c>
      <c r="C1052" s="28">
        <v>13.807387200000001</v>
      </c>
      <c r="D1052" s="28">
        <v>6.8641610599999998</v>
      </c>
      <c r="E1052" s="28">
        <v>26.715347600000001</v>
      </c>
      <c r="F1052" s="28">
        <v>25.957250699999999</v>
      </c>
      <c r="G1052" s="28">
        <v>21.7872564</v>
      </c>
      <c r="H1052" s="28">
        <v>65.493519599999999</v>
      </c>
      <c r="I1052" s="28">
        <v>56.1002692</v>
      </c>
      <c r="J1052" s="28">
        <v>980.34367599999996</v>
      </c>
      <c r="K1052" s="28">
        <v>887.82503999999994</v>
      </c>
      <c r="L1052" s="28">
        <v>5.5997816</v>
      </c>
      <c r="M1052" s="28">
        <v>118.10098499999999</v>
      </c>
      <c r="N1052" s="28">
        <v>74.009342799999999</v>
      </c>
      <c r="O1052" s="28">
        <v>989.90690800000004</v>
      </c>
      <c r="P1052" s="28">
        <v>1010.09309</v>
      </c>
    </row>
    <row r="1053" spans="1:16" x14ac:dyDescent="0.25">
      <c r="A1053" s="40">
        <v>4</v>
      </c>
      <c r="B1053" s="40">
        <v>43</v>
      </c>
      <c r="C1053" s="28">
        <v>13.7334759</v>
      </c>
      <c r="D1053" s="28">
        <v>6.7841245700000004</v>
      </c>
      <c r="E1053" s="28">
        <v>26.533754099999999</v>
      </c>
      <c r="F1053" s="28">
        <v>25.7691844</v>
      </c>
      <c r="G1053" s="28">
        <v>21.8288905</v>
      </c>
      <c r="H1053" s="28">
        <v>65.4744508</v>
      </c>
      <c r="I1053" s="28">
        <v>56.309201999999999</v>
      </c>
      <c r="J1053" s="28">
        <v>984.42235000000005</v>
      </c>
      <c r="K1053" s="28">
        <v>887.53230699999995</v>
      </c>
      <c r="L1053" s="28">
        <v>5.7157114699999996</v>
      </c>
      <c r="M1053" s="28">
        <v>117.65393299999999</v>
      </c>
      <c r="N1053" s="28">
        <v>74.190388799999994</v>
      </c>
      <c r="O1053" s="28">
        <v>1010.40053</v>
      </c>
      <c r="P1053" s="28">
        <v>989.59947499999998</v>
      </c>
    </row>
    <row r="1054" spans="1:16" x14ac:dyDescent="0.25">
      <c r="A1054" s="40">
        <v>4</v>
      </c>
      <c r="B1054" s="40">
        <v>44</v>
      </c>
      <c r="C1054" s="28">
        <v>13.7290677</v>
      </c>
      <c r="D1054" s="28">
        <v>6.7886942699999997</v>
      </c>
      <c r="E1054" s="28">
        <v>26.458158900000001</v>
      </c>
      <c r="F1054" s="28">
        <v>25.7989009</v>
      </c>
      <c r="G1054" s="28">
        <v>21.783051400000002</v>
      </c>
      <c r="H1054" s="28">
        <v>65.857087500000006</v>
      </c>
      <c r="I1054" s="28">
        <v>56.6273348</v>
      </c>
      <c r="J1054" s="28">
        <v>980.39252299999998</v>
      </c>
      <c r="K1054" s="28">
        <v>891.83893</v>
      </c>
      <c r="L1054" s="28">
        <v>5.6898267799999998</v>
      </c>
      <c r="M1054" s="28">
        <v>117.063275</v>
      </c>
      <c r="N1054" s="28">
        <v>75.648782999999995</v>
      </c>
      <c r="O1054" s="28">
        <v>1005.82473</v>
      </c>
      <c r="P1054" s="28">
        <v>994.17526499999997</v>
      </c>
    </row>
    <row r="1055" spans="1:16" x14ac:dyDescent="0.25">
      <c r="A1055" s="40">
        <v>4</v>
      </c>
      <c r="B1055" s="40">
        <v>45</v>
      </c>
      <c r="C1055" s="28">
        <v>13.6463074</v>
      </c>
      <c r="D1055" s="28">
        <v>6.7281448199999998</v>
      </c>
      <c r="E1055" s="28">
        <v>26.270066499999999</v>
      </c>
      <c r="F1055" s="28">
        <v>25.602259100000001</v>
      </c>
      <c r="G1055" s="28">
        <v>21.754587300000001</v>
      </c>
      <c r="H1055" s="28">
        <v>65.739468700000003</v>
      </c>
      <c r="I1055" s="28">
        <v>56.690524500000002</v>
      </c>
      <c r="J1055" s="28">
        <v>984.50018499999999</v>
      </c>
      <c r="K1055" s="28">
        <v>892.089606</v>
      </c>
      <c r="L1055" s="28">
        <v>5.6576387700000002</v>
      </c>
      <c r="M1055" s="28">
        <v>116.788738</v>
      </c>
      <c r="N1055" s="28">
        <v>75.0884444</v>
      </c>
      <c r="O1055" s="28">
        <v>1000.13467</v>
      </c>
      <c r="P1055" s="28">
        <v>999.86533399999996</v>
      </c>
    </row>
    <row r="1056" spans="1:16" x14ac:dyDescent="0.25">
      <c r="A1056" s="40">
        <v>4</v>
      </c>
      <c r="B1056" s="40">
        <v>46</v>
      </c>
      <c r="C1056" s="28">
        <v>13.5961897</v>
      </c>
      <c r="D1056" s="28">
        <v>6.7737606699999997</v>
      </c>
      <c r="E1056" s="28">
        <v>26.4350545</v>
      </c>
      <c r="F1056" s="28">
        <v>25.742689200000001</v>
      </c>
      <c r="G1056" s="28">
        <v>22.098589</v>
      </c>
      <c r="H1056" s="28">
        <v>65.686834200000007</v>
      </c>
      <c r="I1056" s="28">
        <v>56.957377700000002</v>
      </c>
      <c r="J1056" s="28">
        <v>979.47882500000003</v>
      </c>
      <c r="K1056" s="28">
        <v>892.00215100000003</v>
      </c>
      <c r="L1056" s="28">
        <v>5.6951111000000001</v>
      </c>
      <c r="M1056" s="28">
        <v>117.28203999999999</v>
      </c>
      <c r="N1056" s="28">
        <v>74.294870500000002</v>
      </c>
      <c r="O1056" s="28">
        <v>1006.75887</v>
      </c>
      <c r="P1056" s="28">
        <v>993.24112600000001</v>
      </c>
    </row>
    <row r="1057" spans="1:16" x14ac:dyDescent="0.25">
      <c r="A1057" s="40">
        <v>4</v>
      </c>
      <c r="B1057" s="40">
        <v>47</v>
      </c>
      <c r="C1057" s="28">
        <v>13.6604124</v>
      </c>
      <c r="D1057" s="28">
        <v>6.7687961699999999</v>
      </c>
      <c r="E1057" s="28">
        <v>26.4458378</v>
      </c>
      <c r="F1057" s="28">
        <v>25.470790999999998</v>
      </c>
      <c r="G1057" s="28">
        <v>22.456649599999999</v>
      </c>
      <c r="H1057" s="28">
        <v>65.715428799999998</v>
      </c>
      <c r="I1057" s="28">
        <v>57.590583299999999</v>
      </c>
      <c r="J1057" s="28">
        <v>983.87848299999996</v>
      </c>
      <c r="K1057" s="28">
        <v>895.76010900000006</v>
      </c>
      <c r="L1057" s="28">
        <v>5.78898709</v>
      </c>
      <c r="M1057" s="28">
        <v>117.74688999999999</v>
      </c>
      <c r="N1057" s="28">
        <v>74.527306499999995</v>
      </c>
      <c r="O1057" s="28">
        <v>1023.35389</v>
      </c>
      <c r="P1057" s="28">
        <v>976.64610500000003</v>
      </c>
    </row>
    <row r="1058" spans="1:16" x14ac:dyDescent="0.25">
      <c r="A1058" s="40">
        <v>4</v>
      </c>
      <c r="B1058" s="40">
        <v>48</v>
      </c>
      <c r="C1058" s="28">
        <v>13.6285343</v>
      </c>
      <c r="D1058" s="28">
        <v>6.77734623</v>
      </c>
      <c r="E1058" s="28">
        <v>26.530080300000002</v>
      </c>
      <c r="F1058" s="28">
        <v>25.288179499999998</v>
      </c>
      <c r="G1058" s="28">
        <v>22.391252999999999</v>
      </c>
      <c r="H1058" s="28">
        <v>65.583670499999997</v>
      </c>
      <c r="I1058" s="28">
        <v>57.041598999999998</v>
      </c>
      <c r="J1058" s="28">
        <v>980.42549399999996</v>
      </c>
      <c r="K1058" s="28">
        <v>889.43969600000003</v>
      </c>
      <c r="L1058" s="28">
        <v>5.7607219499999998</v>
      </c>
      <c r="M1058" s="28">
        <v>117.373929</v>
      </c>
      <c r="N1058" s="28">
        <v>73.904233500000004</v>
      </c>
      <c r="O1058" s="28">
        <v>1018.3573</v>
      </c>
      <c r="P1058" s="28">
        <v>981.64270199999999</v>
      </c>
    </row>
    <row r="1059" spans="1:16" x14ac:dyDescent="0.25">
      <c r="A1059" s="40">
        <v>4</v>
      </c>
      <c r="B1059" s="40">
        <v>49</v>
      </c>
      <c r="C1059" s="28">
        <v>13.6553462</v>
      </c>
      <c r="D1059" s="28">
        <v>6.7389191300000002</v>
      </c>
      <c r="E1059" s="28">
        <v>26.4630762</v>
      </c>
      <c r="F1059" s="28">
        <v>25.368978800000001</v>
      </c>
      <c r="G1059" s="28">
        <v>22.248056299999998</v>
      </c>
      <c r="H1059" s="28">
        <v>65.944222400000001</v>
      </c>
      <c r="I1059" s="28">
        <v>57.696827800000001</v>
      </c>
      <c r="J1059" s="28">
        <v>984.55513599999995</v>
      </c>
      <c r="K1059" s="28">
        <v>889.59299499999997</v>
      </c>
      <c r="L1059" s="28">
        <v>5.8254737399999996</v>
      </c>
      <c r="M1059" s="28">
        <v>117.203723</v>
      </c>
      <c r="N1059" s="28">
        <v>73.577161799999999</v>
      </c>
      <c r="O1059" s="28">
        <v>1029.80386</v>
      </c>
      <c r="P1059" s="28">
        <v>970.19614100000001</v>
      </c>
    </row>
    <row r="1060" spans="1:16" x14ac:dyDescent="0.25">
      <c r="A1060" s="40">
        <v>4</v>
      </c>
      <c r="B1060" s="40">
        <v>50</v>
      </c>
      <c r="C1060" s="28">
        <v>13.650639200000001</v>
      </c>
      <c r="D1060" s="28">
        <v>6.7524704800000004</v>
      </c>
      <c r="E1060" s="28">
        <v>26.577065900000001</v>
      </c>
      <c r="F1060" s="28">
        <v>25.484297900000001</v>
      </c>
      <c r="G1060" s="28">
        <v>22.326997200000001</v>
      </c>
      <c r="H1060" s="28">
        <v>66.678397799999999</v>
      </c>
      <c r="I1060" s="28">
        <v>58.737194500000001</v>
      </c>
      <c r="J1060" s="28">
        <v>980.40464999999995</v>
      </c>
      <c r="K1060" s="28">
        <v>890.48589500000003</v>
      </c>
      <c r="L1060" s="28">
        <v>5.8425081399999996</v>
      </c>
      <c r="M1060" s="28">
        <v>117.893596</v>
      </c>
      <c r="N1060" s="28">
        <v>73.0735849</v>
      </c>
      <c r="O1060" s="28">
        <v>1032.81513</v>
      </c>
      <c r="P1060" s="28">
        <v>967.18486900000005</v>
      </c>
    </row>
    <row r="1061" spans="1:16" x14ac:dyDescent="0.25">
      <c r="A1061" s="40">
        <v>4</v>
      </c>
      <c r="B1061" s="40">
        <v>51</v>
      </c>
      <c r="C1061" s="28">
        <v>13.5781153</v>
      </c>
      <c r="D1061" s="28">
        <v>6.7960247000000003</v>
      </c>
      <c r="E1061" s="28">
        <v>26.318225099999999</v>
      </c>
      <c r="F1061" s="28">
        <v>25.453826899999999</v>
      </c>
      <c r="G1061" s="28">
        <v>22.1134162</v>
      </c>
      <c r="H1061" s="28">
        <v>64.924832899999998</v>
      </c>
      <c r="I1061" s="28">
        <v>58.421183800000001</v>
      </c>
      <c r="J1061" s="28">
        <v>983.87473399999999</v>
      </c>
      <c r="K1061" s="28">
        <v>898.02026599999999</v>
      </c>
      <c r="L1061" s="28">
        <v>5.7713986899999998</v>
      </c>
      <c r="M1061" s="28">
        <v>116.982358</v>
      </c>
      <c r="N1061" s="28">
        <v>73.635057700000004</v>
      </c>
      <c r="O1061" s="28">
        <v>1020.24469</v>
      </c>
      <c r="P1061" s="28">
        <v>979.755312</v>
      </c>
    </row>
    <row r="1062" spans="1:16" x14ac:dyDescent="0.25">
      <c r="A1062" s="40">
        <v>4</v>
      </c>
      <c r="B1062" s="40">
        <v>52</v>
      </c>
      <c r="C1062" s="28">
        <v>13.5194109</v>
      </c>
      <c r="D1062" s="28">
        <v>6.7873719399999999</v>
      </c>
      <c r="E1062" s="28">
        <v>26.4078917</v>
      </c>
      <c r="F1062" s="28">
        <v>25.3197121</v>
      </c>
      <c r="G1062" s="28">
        <v>22.032819499999999</v>
      </c>
      <c r="H1062" s="28">
        <v>65.051326399999994</v>
      </c>
      <c r="I1062" s="28">
        <v>58.036277200000001</v>
      </c>
      <c r="J1062" s="28">
        <v>980.25025900000003</v>
      </c>
      <c r="K1062" s="28">
        <v>892.47747500000003</v>
      </c>
      <c r="L1062" s="28">
        <v>5.7917705699999997</v>
      </c>
      <c r="M1062" s="28">
        <v>116.762827</v>
      </c>
      <c r="N1062" s="28">
        <v>71.471119700000003</v>
      </c>
      <c r="O1062" s="28">
        <v>1023.84595</v>
      </c>
      <c r="P1062" s="28">
        <v>976.15405299999998</v>
      </c>
    </row>
    <row r="1063" spans="1:16" x14ac:dyDescent="0.25">
      <c r="A1063" s="40">
        <v>4</v>
      </c>
      <c r="B1063" s="40">
        <v>53</v>
      </c>
      <c r="C1063" s="28">
        <v>13.4885763</v>
      </c>
      <c r="D1063" s="28">
        <v>6.76721795</v>
      </c>
      <c r="E1063" s="28">
        <v>26.4923158</v>
      </c>
      <c r="F1063" s="28">
        <v>25.249578799999998</v>
      </c>
      <c r="G1063" s="28">
        <v>22.108079499999999</v>
      </c>
      <c r="H1063" s="28">
        <v>65.268966599999999</v>
      </c>
      <c r="I1063" s="28">
        <v>60.471001200000003</v>
      </c>
      <c r="J1063" s="28">
        <v>983.39745400000004</v>
      </c>
      <c r="K1063" s="28">
        <v>891.48309500000005</v>
      </c>
      <c r="L1063" s="28">
        <v>5.7590382900000003</v>
      </c>
      <c r="M1063" s="28">
        <v>117.371691</v>
      </c>
      <c r="N1063" s="28">
        <v>70.539527100000001</v>
      </c>
      <c r="O1063" s="28">
        <v>1018.05967</v>
      </c>
      <c r="P1063" s="28">
        <v>981.94033300000001</v>
      </c>
    </row>
    <row r="1064" spans="1:16" x14ac:dyDescent="0.25">
      <c r="A1064" s="40">
        <v>4</v>
      </c>
      <c r="B1064" s="40">
        <v>54</v>
      </c>
      <c r="C1064" s="28">
        <v>13.3712593</v>
      </c>
      <c r="D1064" s="28">
        <v>6.8295470099999998</v>
      </c>
      <c r="E1064" s="28">
        <v>26.525191899999999</v>
      </c>
      <c r="F1064" s="28">
        <v>25.353964399999999</v>
      </c>
      <c r="G1064" s="28">
        <v>22.358372299999999</v>
      </c>
      <c r="H1064" s="28">
        <v>64.753394299999997</v>
      </c>
      <c r="I1064" s="28">
        <v>61.234588199999997</v>
      </c>
      <c r="J1064" s="28">
        <v>978.13407199999995</v>
      </c>
      <c r="K1064" s="28">
        <v>891.68135800000005</v>
      </c>
      <c r="L1064" s="28">
        <v>5.7641212700000004</v>
      </c>
      <c r="M1064" s="28">
        <v>117.86545599999999</v>
      </c>
      <c r="N1064" s="28">
        <v>71.268238800000006</v>
      </c>
      <c r="O1064" s="28">
        <v>1018.95822</v>
      </c>
      <c r="P1064" s="28">
        <v>981.041785</v>
      </c>
    </row>
    <row r="1065" spans="1:16" x14ac:dyDescent="0.25">
      <c r="A1065" s="40">
        <v>4</v>
      </c>
      <c r="B1065" s="40">
        <v>55</v>
      </c>
      <c r="C1065" s="28">
        <v>13.481697799999999</v>
      </c>
      <c r="D1065" s="28">
        <v>6.8817482200000004</v>
      </c>
      <c r="E1065" s="28">
        <v>26.567922500000002</v>
      </c>
      <c r="F1065" s="28">
        <v>25.301599800000002</v>
      </c>
      <c r="G1065" s="28">
        <v>22.304731799999999</v>
      </c>
      <c r="H1065" s="28">
        <v>63.881566999999997</v>
      </c>
      <c r="I1065" s="28">
        <v>61.482882500000002</v>
      </c>
      <c r="J1065" s="28">
        <v>982.17544499999997</v>
      </c>
      <c r="K1065" s="28">
        <v>893.71790599999997</v>
      </c>
      <c r="L1065" s="28">
        <v>5.7161045000000001</v>
      </c>
      <c r="M1065" s="28">
        <v>118.236392</v>
      </c>
      <c r="N1065" s="28">
        <v>71.534950100000003</v>
      </c>
      <c r="O1065" s="28">
        <v>1010.47</v>
      </c>
      <c r="P1065" s="28">
        <v>989.52999699999998</v>
      </c>
    </row>
    <row r="1066" spans="1:16" x14ac:dyDescent="0.25">
      <c r="A1066" s="40">
        <v>4</v>
      </c>
      <c r="B1066" s="40">
        <v>56</v>
      </c>
      <c r="C1066" s="28">
        <v>13.4113086</v>
      </c>
      <c r="D1066" s="28">
        <v>6.8205559999999998</v>
      </c>
      <c r="E1066" s="28">
        <v>26.8048419</v>
      </c>
      <c r="F1066" s="28">
        <v>25.188064199999999</v>
      </c>
      <c r="G1066" s="28">
        <v>21.9720242</v>
      </c>
      <c r="H1066" s="28">
        <v>64.214451999999994</v>
      </c>
      <c r="I1066" s="28">
        <v>61.546172499999997</v>
      </c>
      <c r="J1066" s="28">
        <v>978.73125700000003</v>
      </c>
      <c r="K1066" s="28">
        <v>894.16533800000002</v>
      </c>
      <c r="L1066" s="28">
        <v>5.8964900399999998</v>
      </c>
      <c r="M1066" s="28">
        <v>118.228201</v>
      </c>
      <c r="N1066" s="28">
        <v>71.625613900000005</v>
      </c>
      <c r="O1066" s="28">
        <v>1042.3578399999999</v>
      </c>
      <c r="P1066" s="28">
        <v>957.64216399999998</v>
      </c>
    </row>
    <row r="1067" spans="1:16" x14ac:dyDescent="0.25">
      <c r="A1067" s="40">
        <v>4</v>
      </c>
      <c r="B1067" s="40">
        <v>57</v>
      </c>
      <c r="C1067" s="28">
        <v>13.3880198</v>
      </c>
      <c r="D1067" s="28">
        <v>6.8999364200000004</v>
      </c>
      <c r="E1067" s="28">
        <v>27.0424012</v>
      </c>
      <c r="F1067" s="28">
        <v>25.3174551</v>
      </c>
      <c r="G1067" s="28">
        <v>21.837242199999999</v>
      </c>
      <c r="H1067" s="28">
        <v>63.676480499999997</v>
      </c>
      <c r="I1067" s="28">
        <v>61.078039599999997</v>
      </c>
      <c r="J1067" s="28">
        <v>981.84596699999997</v>
      </c>
      <c r="K1067" s="28">
        <v>894.39937799999996</v>
      </c>
      <c r="L1067" s="28">
        <v>5.83157061</v>
      </c>
      <c r="M1067" s="28">
        <v>118.375799</v>
      </c>
      <c r="N1067" s="28">
        <v>71.224186200000005</v>
      </c>
      <c r="O1067" s="28">
        <v>1030.8816400000001</v>
      </c>
      <c r="P1067" s="28">
        <v>969.11836100000005</v>
      </c>
    </row>
    <row r="1068" spans="1:16" x14ac:dyDescent="0.25">
      <c r="A1068" s="40">
        <v>4</v>
      </c>
      <c r="B1068" s="40">
        <v>58</v>
      </c>
      <c r="C1068" s="28">
        <v>13.419888</v>
      </c>
      <c r="D1068" s="28">
        <v>6.84049101</v>
      </c>
      <c r="E1068" s="28">
        <v>27.352684700000001</v>
      </c>
      <c r="F1068" s="28">
        <v>25.475638100000001</v>
      </c>
      <c r="G1068" s="28">
        <v>22.1924499</v>
      </c>
      <c r="H1068" s="28">
        <v>63.987307700000002</v>
      </c>
      <c r="I1068" s="28">
        <v>61.882687599999997</v>
      </c>
      <c r="J1068" s="28">
        <v>977.58806600000003</v>
      </c>
      <c r="K1068" s="28">
        <v>885.45721900000001</v>
      </c>
      <c r="L1068" s="28">
        <v>5.7922539799999999</v>
      </c>
      <c r="M1068" s="28">
        <v>119.066087</v>
      </c>
      <c r="N1068" s="28">
        <v>70.951768700000002</v>
      </c>
      <c r="O1068" s="28">
        <v>1023.9314000000001</v>
      </c>
      <c r="P1068" s="28">
        <v>976.06859599999996</v>
      </c>
    </row>
    <row r="1069" spans="1:16" x14ac:dyDescent="0.25">
      <c r="A1069" s="40">
        <v>4</v>
      </c>
      <c r="B1069" s="40">
        <v>59</v>
      </c>
      <c r="C1069" s="28">
        <v>13.319984</v>
      </c>
      <c r="D1069" s="28">
        <v>6.8307608100000001</v>
      </c>
      <c r="E1069" s="28">
        <v>27.3572636</v>
      </c>
      <c r="F1069" s="28">
        <v>25.9589441</v>
      </c>
      <c r="G1069" s="28">
        <v>22.197357</v>
      </c>
      <c r="H1069" s="28">
        <v>63.569194500000002</v>
      </c>
      <c r="I1069" s="28">
        <v>60.425311100000002</v>
      </c>
      <c r="J1069" s="28">
        <v>979.82526399999995</v>
      </c>
      <c r="K1069" s="28">
        <v>889.22430799999995</v>
      </c>
      <c r="L1069" s="28">
        <v>5.7634348800000001</v>
      </c>
      <c r="M1069" s="28">
        <v>118.769369</v>
      </c>
      <c r="N1069" s="28">
        <v>71.656309800000002</v>
      </c>
      <c r="O1069" s="28">
        <v>1018.83688</v>
      </c>
      <c r="P1069" s="28">
        <v>981.16312200000004</v>
      </c>
    </row>
    <row r="1070" spans="1:16" x14ac:dyDescent="0.25">
      <c r="A1070" s="40">
        <v>4</v>
      </c>
      <c r="B1070" s="40">
        <v>60</v>
      </c>
      <c r="C1070" s="28">
        <v>13.2511569</v>
      </c>
      <c r="D1070" s="28">
        <v>6.80392581</v>
      </c>
      <c r="E1070" s="28">
        <v>27.3069019</v>
      </c>
      <c r="F1070" s="28">
        <v>25.805374199999999</v>
      </c>
      <c r="G1070" s="28">
        <v>22.2843394</v>
      </c>
      <c r="H1070" s="28">
        <v>63.592870900000001</v>
      </c>
      <c r="I1070" s="28">
        <v>60.902200100000002</v>
      </c>
      <c r="J1070" s="28">
        <v>976.10007399999995</v>
      </c>
      <c r="K1070" s="28">
        <v>891.50308600000005</v>
      </c>
      <c r="L1070" s="28">
        <v>5.7858057699999996</v>
      </c>
      <c r="M1070" s="28">
        <v>119.12580699999999</v>
      </c>
      <c r="N1070" s="28">
        <v>72.947063200000002</v>
      </c>
      <c r="O1070" s="28">
        <v>1022.79151</v>
      </c>
      <c r="P1070" s="28">
        <v>977.20848599999999</v>
      </c>
    </row>
    <row r="1071" spans="1:16" x14ac:dyDescent="0.25">
      <c r="A1071" s="40">
        <v>4</v>
      </c>
      <c r="B1071" s="40">
        <v>61</v>
      </c>
      <c r="C1071" s="28">
        <v>13.3770112</v>
      </c>
      <c r="D1071" s="28">
        <v>6.81787645</v>
      </c>
      <c r="E1071" s="28">
        <v>27.4187549</v>
      </c>
      <c r="F1071" s="28">
        <v>25.913802400000002</v>
      </c>
      <c r="G1071" s="28">
        <v>22.5240294</v>
      </c>
      <c r="H1071" s="28">
        <v>64.005705500000005</v>
      </c>
      <c r="I1071" s="28">
        <v>61.704086400000001</v>
      </c>
      <c r="J1071" s="28">
        <v>979.71632499999998</v>
      </c>
      <c r="K1071" s="28">
        <v>890.76779499999998</v>
      </c>
      <c r="L1071" s="28">
        <v>5.8547216899999999</v>
      </c>
      <c r="M1071" s="28">
        <v>120.023245</v>
      </c>
      <c r="N1071" s="28">
        <v>73.075927399999998</v>
      </c>
      <c r="O1071" s="28">
        <v>1034.9741899999999</v>
      </c>
      <c r="P1071" s="28">
        <v>965.02580699999999</v>
      </c>
    </row>
    <row r="1072" spans="1:16" x14ac:dyDescent="0.25">
      <c r="A1072" s="40">
        <v>4</v>
      </c>
      <c r="B1072" s="40">
        <v>62</v>
      </c>
      <c r="C1072" s="28">
        <v>13.5907008</v>
      </c>
      <c r="D1072" s="28">
        <v>6.8046508899999996</v>
      </c>
      <c r="E1072" s="28">
        <v>27.479133300000001</v>
      </c>
      <c r="F1072" s="28">
        <v>25.7470219</v>
      </c>
      <c r="G1072" s="28">
        <v>22.477785399999998</v>
      </c>
      <c r="H1072" s="28">
        <v>63.734736699999999</v>
      </c>
      <c r="I1072" s="28">
        <v>61.734978499999997</v>
      </c>
      <c r="J1072" s="28">
        <v>977.99112500000001</v>
      </c>
      <c r="K1072" s="28">
        <v>894.20630300000005</v>
      </c>
      <c r="L1072" s="28">
        <v>5.9435625600000002</v>
      </c>
      <c r="M1072" s="28">
        <v>119.758509</v>
      </c>
      <c r="N1072" s="28">
        <v>73.174433800000003</v>
      </c>
      <c r="O1072" s="28">
        <v>1050.67913</v>
      </c>
      <c r="P1072" s="28">
        <v>949.320874</v>
      </c>
    </row>
    <row r="1073" spans="1:16" x14ac:dyDescent="0.25">
      <c r="A1073" s="40">
        <v>4</v>
      </c>
      <c r="B1073" s="40">
        <v>63</v>
      </c>
      <c r="C1073" s="28">
        <v>13.558601700000001</v>
      </c>
      <c r="D1073" s="28">
        <v>6.7897302699999997</v>
      </c>
      <c r="E1073" s="28">
        <v>27.4707604</v>
      </c>
      <c r="F1073" s="28">
        <v>25.772155699999999</v>
      </c>
      <c r="G1073" s="28">
        <v>22.292615600000001</v>
      </c>
      <c r="H1073" s="28">
        <v>63.373938600000002</v>
      </c>
      <c r="I1073" s="28">
        <v>61.8706988</v>
      </c>
      <c r="J1073" s="28">
        <v>981.16806599999995</v>
      </c>
      <c r="K1073" s="28">
        <v>898.30446199999994</v>
      </c>
      <c r="L1073" s="28">
        <v>5.9644770899999999</v>
      </c>
      <c r="M1073" s="28">
        <v>119.190967</v>
      </c>
      <c r="N1073" s="28">
        <v>74.204120500000002</v>
      </c>
      <c r="O1073" s="28">
        <v>1054.3763100000001</v>
      </c>
      <c r="P1073" s="28">
        <v>945.62368700000002</v>
      </c>
    </row>
    <row r="1074" spans="1:16" x14ac:dyDescent="0.25">
      <c r="A1074" s="40">
        <v>4</v>
      </c>
      <c r="B1074" s="40">
        <v>64</v>
      </c>
      <c r="C1074" s="28">
        <v>13.5975404</v>
      </c>
      <c r="D1074" s="28">
        <v>6.81770444</v>
      </c>
      <c r="E1074" s="28">
        <v>27.3290033</v>
      </c>
      <c r="F1074" s="28">
        <v>25.551398599999999</v>
      </c>
      <c r="G1074" s="28">
        <v>22.085737999999999</v>
      </c>
      <c r="H1074" s="28">
        <v>62.574541000000004</v>
      </c>
      <c r="I1074" s="28">
        <v>61.419904099999997</v>
      </c>
      <c r="J1074" s="28">
        <v>978.62492099999997</v>
      </c>
      <c r="K1074" s="28">
        <v>892.09766200000001</v>
      </c>
      <c r="L1074" s="28">
        <v>6.0343092900000004</v>
      </c>
      <c r="M1074" s="28">
        <v>118.686368</v>
      </c>
      <c r="N1074" s="28">
        <v>74.080161000000004</v>
      </c>
      <c r="O1074" s="28">
        <v>1066.7209700000001</v>
      </c>
      <c r="P1074" s="28">
        <v>933.27903100000003</v>
      </c>
    </row>
    <row r="1075" spans="1:16" x14ac:dyDescent="0.25">
      <c r="A1075" s="40">
        <v>4</v>
      </c>
      <c r="B1075" s="40">
        <v>65</v>
      </c>
      <c r="C1075" s="28">
        <v>13.567818000000001</v>
      </c>
      <c r="D1075" s="28">
        <v>6.8303945099999996</v>
      </c>
      <c r="E1075" s="28">
        <v>27.3759911</v>
      </c>
      <c r="F1075" s="28">
        <v>25.6064899</v>
      </c>
      <c r="G1075" s="28">
        <v>22.2620097</v>
      </c>
      <c r="H1075" s="28">
        <v>62.652617900000003</v>
      </c>
      <c r="I1075" s="28">
        <v>62.0714927</v>
      </c>
      <c r="J1075" s="28">
        <v>981.12664700000005</v>
      </c>
      <c r="K1075" s="28">
        <v>894.10407499999997</v>
      </c>
      <c r="L1075" s="28">
        <v>6.1088880200000002</v>
      </c>
      <c r="M1075" s="28">
        <v>119.066058</v>
      </c>
      <c r="N1075" s="28">
        <v>74.295607899999993</v>
      </c>
      <c r="O1075" s="28">
        <v>1079.9047</v>
      </c>
      <c r="P1075" s="28">
        <v>920.09530199999995</v>
      </c>
    </row>
    <row r="1076" spans="1:16" x14ac:dyDescent="0.25">
      <c r="A1076" s="40">
        <v>4</v>
      </c>
      <c r="B1076" s="40">
        <v>66</v>
      </c>
      <c r="C1076" s="28">
        <v>13.613654800000001</v>
      </c>
      <c r="D1076" s="28">
        <v>6.7865808599999999</v>
      </c>
      <c r="E1076" s="28">
        <v>27.227835200000001</v>
      </c>
      <c r="F1076" s="28">
        <v>25.368388800000002</v>
      </c>
      <c r="G1076" s="28">
        <v>22.322137699999999</v>
      </c>
      <c r="H1076" s="28">
        <v>62.620543099999999</v>
      </c>
      <c r="I1076" s="28">
        <v>62.772173600000002</v>
      </c>
      <c r="J1076" s="28">
        <v>978.38611100000003</v>
      </c>
      <c r="K1076" s="28">
        <v>885.35910899999999</v>
      </c>
      <c r="L1076" s="28">
        <v>6.1453327499999997</v>
      </c>
      <c r="M1076" s="28">
        <v>118.904397</v>
      </c>
      <c r="N1076" s="28">
        <v>73.635355300000001</v>
      </c>
      <c r="O1076" s="28">
        <v>1086.34725</v>
      </c>
      <c r="P1076" s="28">
        <v>913.65274899999997</v>
      </c>
    </row>
    <row r="1077" spans="1:16" x14ac:dyDescent="0.25">
      <c r="A1077" s="40">
        <v>4</v>
      </c>
      <c r="B1077" s="40">
        <v>67</v>
      </c>
      <c r="C1077" s="28">
        <v>13.470843500000001</v>
      </c>
      <c r="D1077" s="28">
        <v>6.7814308900000002</v>
      </c>
      <c r="E1077" s="28">
        <v>27.1937268</v>
      </c>
      <c r="F1077" s="28">
        <v>25.4482921</v>
      </c>
      <c r="G1077" s="28">
        <v>22.361426300000002</v>
      </c>
      <c r="H1077" s="28">
        <v>62.321592099999997</v>
      </c>
      <c r="I1077" s="28">
        <v>63.694253699999997</v>
      </c>
      <c r="J1077" s="28">
        <v>980.18150900000001</v>
      </c>
      <c r="K1077" s="28">
        <v>882.89178600000002</v>
      </c>
      <c r="L1077" s="28">
        <v>6.1643009500000003</v>
      </c>
      <c r="M1077" s="28">
        <v>118.754462</v>
      </c>
      <c r="N1077" s="28">
        <v>74.188935299999997</v>
      </c>
      <c r="O1077" s="28">
        <v>1089.70037</v>
      </c>
      <c r="P1077" s="28">
        <v>910.29962699999999</v>
      </c>
    </row>
    <row r="1078" spans="1:16" x14ac:dyDescent="0.25">
      <c r="A1078" s="40">
        <v>4</v>
      </c>
      <c r="B1078" s="40">
        <v>68</v>
      </c>
      <c r="C1078" s="28">
        <v>13.4032377</v>
      </c>
      <c r="D1078" s="28">
        <v>6.7656222799999997</v>
      </c>
      <c r="E1078" s="28">
        <v>27.077771500000001</v>
      </c>
      <c r="F1078" s="28">
        <v>25.663837300000001</v>
      </c>
      <c r="G1078" s="28">
        <v>22.4087709</v>
      </c>
      <c r="H1078" s="28">
        <v>63.309550700000003</v>
      </c>
      <c r="I1078" s="28">
        <v>62.198076</v>
      </c>
      <c r="J1078" s="28">
        <v>976.77724499999999</v>
      </c>
      <c r="K1078" s="28">
        <v>877.468749</v>
      </c>
      <c r="L1078" s="28">
        <v>6.0810520600000002</v>
      </c>
      <c r="M1078" s="28">
        <v>119.077974</v>
      </c>
      <c r="N1078" s="28">
        <v>73.792361099999994</v>
      </c>
      <c r="O1078" s="28">
        <v>1074.98397</v>
      </c>
      <c r="P1078" s="28">
        <v>925.016032</v>
      </c>
    </row>
    <row r="1079" spans="1:16" x14ac:dyDescent="0.25">
      <c r="A1079" s="40">
        <v>4</v>
      </c>
      <c r="B1079" s="40">
        <v>69</v>
      </c>
      <c r="C1079" s="28">
        <v>13.5373974</v>
      </c>
      <c r="D1079" s="28">
        <v>6.7757146500000003</v>
      </c>
      <c r="E1079" s="28">
        <v>27.207737000000002</v>
      </c>
      <c r="F1079" s="28">
        <v>25.7987906</v>
      </c>
      <c r="G1079" s="28">
        <v>22.509239099999999</v>
      </c>
      <c r="H1079" s="28">
        <v>62.384162799999999</v>
      </c>
      <c r="I1079" s="28">
        <v>62.551515700000003</v>
      </c>
      <c r="J1079" s="28">
        <v>979.99203499999999</v>
      </c>
      <c r="K1079" s="28">
        <v>881.90628600000002</v>
      </c>
      <c r="L1079" s="28">
        <v>6.0824889300000002</v>
      </c>
      <c r="M1079" s="28">
        <v>119.250443</v>
      </c>
      <c r="N1079" s="28">
        <v>74.199268900000007</v>
      </c>
      <c r="O1079" s="28">
        <v>1075.2379699999999</v>
      </c>
      <c r="P1079" s="28">
        <v>924.76202799999999</v>
      </c>
    </row>
    <row r="1080" spans="1:16" x14ac:dyDescent="0.25">
      <c r="A1080" s="40">
        <v>4</v>
      </c>
      <c r="B1080" s="40">
        <v>70</v>
      </c>
      <c r="C1080" s="28">
        <v>13.501729900000001</v>
      </c>
      <c r="D1080" s="28">
        <v>6.7230367099999997</v>
      </c>
      <c r="E1080" s="28">
        <v>27.030000900000001</v>
      </c>
      <c r="F1080" s="28">
        <v>25.774242900000001</v>
      </c>
      <c r="G1080" s="28">
        <v>22.354185900000001</v>
      </c>
      <c r="H1080" s="28">
        <v>62.640679300000002</v>
      </c>
      <c r="I1080" s="28">
        <v>62.9181113</v>
      </c>
      <c r="J1080" s="28">
        <v>976.92270799999994</v>
      </c>
      <c r="K1080" s="28">
        <v>875.42003199999999</v>
      </c>
      <c r="L1080" s="28">
        <v>6.2545794499999996</v>
      </c>
      <c r="M1080" s="28">
        <v>119.457672</v>
      </c>
      <c r="N1080" s="28">
        <v>75.358018400000006</v>
      </c>
      <c r="O1080" s="28">
        <v>1105.6594399999999</v>
      </c>
      <c r="P1080" s="28">
        <v>894.34055599999999</v>
      </c>
    </row>
    <row r="1081" spans="1:16" x14ac:dyDescent="0.25">
      <c r="A1081" s="40">
        <v>4</v>
      </c>
      <c r="B1081" s="40">
        <v>71</v>
      </c>
      <c r="C1081" s="28">
        <v>13.574665299999999</v>
      </c>
      <c r="D1081" s="28">
        <v>6.7127337300000001</v>
      </c>
      <c r="E1081" s="28">
        <v>26.814029000000001</v>
      </c>
      <c r="F1081" s="28">
        <v>25.7609429</v>
      </c>
      <c r="G1081" s="28">
        <v>22.376460000000002</v>
      </c>
      <c r="H1081" s="28">
        <v>63.108263000000001</v>
      </c>
      <c r="I1081" s="28">
        <v>64.263785100000007</v>
      </c>
      <c r="J1081" s="28">
        <v>980.35381800000005</v>
      </c>
      <c r="K1081" s="28">
        <v>876.66493100000002</v>
      </c>
      <c r="L1081" s="28">
        <v>6.2802352199999998</v>
      </c>
      <c r="M1081" s="28">
        <v>119.69144300000001</v>
      </c>
      <c r="N1081" s="28">
        <v>76.619043599999998</v>
      </c>
      <c r="O1081" s="28">
        <v>1110.1947700000001</v>
      </c>
      <c r="P1081" s="28">
        <v>889.80523200000005</v>
      </c>
    </row>
    <row r="1082" spans="1:16" x14ac:dyDescent="0.25">
      <c r="A1082" s="40">
        <v>4</v>
      </c>
      <c r="B1082" s="40">
        <v>72</v>
      </c>
      <c r="C1082" s="28">
        <v>13.592194900000001</v>
      </c>
      <c r="D1082" s="28">
        <v>6.73806321</v>
      </c>
      <c r="E1082" s="28">
        <v>26.8613021</v>
      </c>
      <c r="F1082" s="28">
        <v>25.658399899999999</v>
      </c>
      <c r="G1082" s="28">
        <v>22.143263600000001</v>
      </c>
      <c r="H1082" s="28">
        <v>63.139562400000003</v>
      </c>
      <c r="I1082" s="28">
        <v>64.558026600000005</v>
      </c>
      <c r="J1082" s="28">
        <v>977.76788399999998</v>
      </c>
      <c r="K1082" s="28">
        <v>874.014048</v>
      </c>
      <c r="L1082" s="28">
        <v>6.4019795400000001</v>
      </c>
      <c r="M1082" s="28">
        <v>119.512936</v>
      </c>
      <c r="N1082" s="28">
        <v>79.157438600000006</v>
      </c>
      <c r="O1082" s="28">
        <v>1131.71624</v>
      </c>
      <c r="P1082" s="28">
        <v>868.28376000000003</v>
      </c>
    </row>
    <row r="1083" spans="1:16" x14ac:dyDescent="0.25">
      <c r="A1083" s="40">
        <v>4</v>
      </c>
      <c r="B1083" s="40">
        <v>73</v>
      </c>
      <c r="C1083" s="28">
        <v>13.553850199999999</v>
      </c>
      <c r="D1083" s="28">
        <v>6.70670769</v>
      </c>
      <c r="E1083" s="28">
        <v>26.660980899999998</v>
      </c>
      <c r="F1083" s="28">
        <v>25.609072600000001</v>
      </c>
      <c r="G1083" s="28">
        <v>22.189090799999999</v>
      </c>
      <c r="H1083" s="28">
        <v>62.613444000000001</v>
      </c>
      <c r="I1083" s="28">
        <v>64.157111700000002</v>
      </c>
      <c r="J1083" s="28">
        <v>980.65354300000001</v>
      </c>
      <c r="K1083" s="28">
        <v>875.47014899999999</v>
      </c>
      <c r="L1083" s="28">
        <v>6.3675055499999997</v>
      </c>
      <c r="M1083" s="28">
        <v>118.515169</v>
      </c>
      <c r="N1083" s="28">
        <v>79.308613899999997</v>
      </c>
      <c r="O1083" s="28">
        <v>1125.6220699999999</v>
      </c>
      <c r="P1083" s="28">
        <v>874.37793299999998</v>
      </c>
    </row>
    <row r="1084" spans="1:16" x14ac:dyDescent="0.25">
      <c r="A1084" s="40">
        <v>4</v>
      </c>
      <c r="B1084" s="40">
        <v>74</v>
      </c>
      <c r="C1084" s="28">
        <v>13.558053900000001</v>
      </c>
      <c r="D1084" s="28">
        <v>6.7409887800000003</v>
      </c>
      <c r="E1084" s="28">
        <v>26.637276799999999</v>
      </c>
      <c r="F1084" s="28">
        <v>25.736419399999999</v>
      </c>
      <c r="G1084" s="28">
        <v>22.11984</v>
      </c>
      <c r="H1084" s="28">
        <v>63.456208099999998</v>
      </c>
      <c r="I1084" s="28">
        <v>64.433903900000004</v>
      </c>
      <c r="J1084" s="28">
        <v>977.649405</v>
      </c>
      <c r="K1084" s="28">
        <v>878.10335199999997</v>
      </c>
      <c r="L1084" s="28">
        <v>6.41945356</v>
      </c>
      <c r="M1084" s="28">
        <v>118.992841</v>
      </c>
      <c r="N1084" s="28">
        <v>79.279584200000002</v>
      </c>
      <c r="O1084" s="28">
        <v>1134.8052299999999</v>
      </c>
      <c r="P1084" s="28">
        <v>865.19477400000005</v>
      </c>
    </row>
    <row r="1085" spans="1:16" x14ac:dyDescent="0.25">
      <c r="A1085" s="40">
        <v>4</v>
      </c>
      <c r="B1085" s="40">
        <v>75</v>
      </c>
      <c r="C1085" s="28">
        <v>13.4650702</v>
      </c>
      <c r="D1085" s="28">
        <v>6.7737292199999999</v>
      </c>
      <c r="E1085" s="28">
        <v>26.5034888</v>
      </c>
      <c r="F1085" s="28">
        <v>25.8078149</v>
      </c>
      <c r="G1085" s="28">
        <v>22.522715600000002</v>
      </c>
      <c r="H1085" s="28">
        <v>63.911266599999998</v>
      </c>
      <c r="I1085" s="28">
        <v>64.832960299999996</v>
      </c>
      <c r="J1085" s="28">
        <v>979.55771100000004</v>
      </c>
      <c r="K1085" s="28">
        <v>880.54669899999999</v>
      </c>
      <c r="L1085" s="28">
        <v>6.4034689499999997</v>
      </c>
      <c r="M1085" s="28">
        <v>119.205045</v>
      </c>
      <c r="N1085" s="28">
        <v>80.374788899999999</v>
      </c>
      <c r="O1085" s="28">
        <v>1131.9795300000001</v>
      </c>
      <c r="P1085" s="28">
        <v>868.02046800000005</v>
      </c>
    </row>
    <row r="1086" spans="1:16" x14ac:dyDescent="0.25">
      <c r="A1086" s="40">
        <v>4</v>
      </c>
      <c r="B1086" s="40">
        <v>76</v>
      </c>
      <c r="C1086" s="28">
        <v>13.6001999</v>
      </c>
      <c r="D1086" s="28">
        <v>6.7645456900000003</v>
      </c>
      <c r="E1086" s="28">
        <v>26.413716099999998</v>
      </c>
      <c r="F1086" s="28">
        <v>25.864321400000001</v>
      </c>
      <c r="G1086" s="28">
        <v>22.4788204</v>
      </c>
      <c r="H1086" s="28">
        <v>63.868254399999998</v>
      </c>
      <c r="I1086" s="28">
        <v>64.162454600000004</v>
      </c>
      <c r="J1086" s="28">
        <v>977.49832200000003</v>
      </c>
      <c r="K1086" s="28">
        <v>879.62028299999997</v>
      </c>
      <c r="L1086" s="28">
        <v>6.4288804900000001</v>
      </c>
      <c r="M1086" s="28">
        <v>119.256652</v>
      </c>
      <c r="N1086" s="28">
        <v>80.648640700000001</v>
      </c>
      <c r="O1086" s="28">
        <v>1136.4716800000001</v>
      </c>
      <c r="P1086" s="28">
        <v>863.52831900000001</v>
      </c>
    </row>
    <row r="1087" spans="1:16" x14ac:dyDescent="0.25">
      <c r="A1087" s="40">
        <v>4</v>
      </c>
      <c r="B1087" s="40">
        <v>77</v>
      </c>
      <c r="C1087" s="28">
        <v>13.4741169</v>
      </c>
      <c r="D1087" s="28">
        <v>6.7816163999999999</v>
      </c>
      <c r="E1087" s="28">
        <v>26.245032699999999</v>
      </c>
      <c r="F1087" s="28">
        <v>25.6013333</v>
      </c>
      <c r="G1087" s="28">
        <v>22.427505199999999</v>
      </c>
      <c r="H1087" s="28">
        <v>63.969296</v>
      </c>
      <c r="I1087" s="28">
        <v>63.761868100000001</v>
      </c>
      <c r="J1087" s="28">
        <v>980.36976500000003</v>
      </c>
      <c r="K1087" s="28">
        <v>885.11922000000004</v>
      </c>
      <c r="L1087" s="28">
        <v>6.37204193</v>
      </c>
      <c r="M1087" s="28">
        <v>118.791535</v>
      </c>
      <c r="N1087" s="28">
        <v>82.141978300000005</v>
      </c>
      <c r="O1087" s="28">
        <v>1126.42399</v>
      </c>
      <c r="P1087" s="28">
        <v>873.57601099999999</v>
      </c>
    </row>
    <row r="1088" spans="1:16" x14ac:dyDescent="0.25">
      <c r="A1088" s="40">
        <v>4</v>
      </c>
      <c r="B1088" s="40">
        <v>78</v>
      </c>
      <c r="C1088" s="28">
        <v>13.5695774</v>
      </c>
      <c r="D1088" s="28">
        <v>6.7376858300000002</v>
      </c>
      <c r="E1088" s="28">
        <v>26.399929799999999</v>
      </c>
      <c r="F1088" s="28">
        <v>25.465888100000001</v>
      </c>
      <c r="G1088" s="28">
        <v>22.374611300000002</v>
      </c>
      <c r="H1088" s="28">
        <v>63.082408200000003</v>
      </c>
      <c r="I1088" s="28">
        <v>64.865453700000003</v>
      </c>
      <c r="J1088" s="28">
        <v>977.96715300000005</v>
      </c>
      <c r="K1088" s="28">
        <v>889.52820399999996</v>
      </c>
      <c r="L1088" s="28">
        <v>6.34825515</v>
      </c>
      <c r="M1088" s="28">
        <v>118.62747400000001</v>
      </c>
      <c r="N1088" s="28">
        <v>81.486185199999994</v>
      </c>
      <c r="O1088" s="28">
        <v>1122.2190599999999</v>
      </c>
      <c r="P1088" s="28">
        <v>877.78094299999998</v>
      </c>
    </row>
    <row r="1089" spans="1:16" x14ac:dyDescent="0.25">
      <c r="A1089" s="40">
        <v>4</v>
      </c>
      <c r="B1089" s="40">
        <v>79</v>
      </c>
      <c r="C1089" s="28">
        <v>13.723091699999999</v>
      </c>
      <c r="D1089" s="28">
        <v>6.7615466900000003</v>
      </c>
      <c r="E1089" s="28">
        <v>26.4952693</v>
      </c>
      <c r="F1089" s="28">
        <v>25.390783599999999</v>
      </c>
      <c r="G1089" s="28">
        <v>22.463798000000001</v>
      </c>
      <c r="H1089" s="28">
        <v>63.888416100000001</v>
      </c>
      <c r="I1089" s="28">
        <v>64.579741400000003</v>
      </c>
      <c r="J1089" s="28">
        <v>982.08536600000002</v>
      </c>
      <c r="K1089" s="28">
        <v>884.80699400000003</v>
      </c>
      <c r="L1089" s="28">
        <v>6.3186476499999999</v>
      </c>
      <c r="M1089" s="28">
        <v>118.80780900000001</v>
      </c>
      <c r="N1089" s="28">
        <v>81.947680000000005</v>
      </c>
      <c r="O1089" s="28">
        <v>1116.98516</v>
      </c>
      <c r="P1089" s="28">
        <v>883.01483800000005</v>
      </c>
    </row>
    <row r="1090" spans="1:16" x14ac:dyDescent="0.25">
      <c r="A1090" s="40">
        <v>4</v>
      </c>
      <c r="B1090" s="40">
        <v>80</v>
      </c>
      <c r="C1090" s="28">
        <v>13.833384300000001</v>
      </c>
      <c r="D1090" s="28">
        <v>6.7767279499999997</v>
      </c>
      <c r="E1090" s="28">
        <v>26.681301399999999</v>
      </c>
      <c r="F1090" s="28">
        <v>25.7238872</v>
      </c>
      <c r="G1090" s="28">
        <v>22.546800000000001</v>
      </c>
      <c r="H1090" s="28">
        <v>63.8861031</v>
      </c>
      <c r="I1090" s="28">
        <v>64.793341400000003</v>
      </c>
      <c r="J1090" s="28">
        <v>979.18753100000004</v>
      </c>
      <c r="K1090" s="28">
        <v>880.37591999999995</v>
      </c>
      <c r="L1090" s="28">
        <v>6.1678361900000001</v>
      </c>
      <c r="M1090" s="28">
        <v>119.493426</v>
      </c>
      <c r="N1090" s="28">
        <v>81.590949199999997</v>
      </c>
      <c r="O1090" s="28">
        <v>1090.3253199999999</v>
      </c>
      <c r="P1090" s="28">
        <v>909.67468099999996</v>
      </c>
    </row>
    <row r="1091" spans="1:16" x14ac:dyDescent="0.25">
      <c r="A1091" s="40">
        <v>4</v>
      </c>
      <c r="B1091" s="40">
        <v>81</v>
      </c>
      <c r="C1091" s="28">
        <v>13.866059999999999</v>
      </c>
      <c r="D1091" s="28">
        <v>6.7650867000000003</v>
      </c>
      <c r="E1091" s="28">
        <v>26.850496400000001</v>
      </c>
      <c r="F1091" s="28">
        <v>25.718933400000001</v>
      </c>
      <c r="G1091" s="28">
        <v>22.640092800000001</v>
      </c>
      <c r="H1091" s="28">
        <v>64.252930699999993</v>
      </c>
      <c r="I1091" s="28">
        <v>65.084417099999996</v>
      </c>
      <c r="J1091" s="28">
        <v>982.15754600000002</v>
      </c>
      <c r="K1091" s="28">
        <v>882.43989999999997</v>
      </c>
      <c r="L1091" s="28">
        <v>6.2137868000000003</v>
      </c>
      <c r="M1091" s="28">
        <v>120.045117</v>
      </c>
      <c r="N1091" s="28">
        <v>81.224177699999998</v>
      </c>
      <c r="O1091" s="28">
        <v>1098.4482800000001</v>
      </c>
      <c r="P1091" s="28">
        <v>901.55171700000005</v>
      </c>
    </row>
    <row r="1092" spans="1:16" x14ac:dyDescent="0.25">
      <c r="A1092" s="40">
        <v>4</v>
      </c>
      <c r="B1092" s="40">
        <v>82</v>
      </c>
      <c r="C1092" s="28">
        <v>13.968749900000001</v>
      </c>
      <c r="D1092" s="28">
        <v>6.7776598300000002</v>
      </c>
      <c r="E1092" s="28">
        <v>26.6657504</v>
      </c>
      <c r="F1092" s="28">
        <v>25.420932400000002</v>
      </c>
      <c r="G1092" s="28">
        <v>22.685698500000001</v>
      </c>
      <c r="H1092" s="28">
        <v>63.326898999999997</v>
      </c>
      <c r="I1092" s="28">
        <v>64.6723499</v>
      </c>
      <c r="J1092" s="28">
        <v>980.36389399999996</v>
      </c>
      <c r="K1092" s="28">
        <v>887.63978199999997</v>
      </c>
      <c r="L1092" s="28">
        <v>6.2716799400000003</v>
      </c>
      <c r="M1092" s="28">
        <v>119.362572</v>
      </c>
      <c r="N1092" s="28">
        <v>80.799775800000006</v>
      </c>
      <c r="O1092" s="28">
        <v>1108.6823999999999</v>
      </c>
      <c r="P1092" s="28">
        <v>891.31760099999997</v>
      </c>
    </row>
    <row r="1093" spans="1:16" x14ac:dyDescent="0.25">
      <c r="A1093" s="40">
        <v>4</v>
      </c>
      <c r="B1093" s="40">
        <v>83</v>
      </c>
      <c r="C1093" s="28">
        <v>13.826677200000001</v>
      </c>
      <c r="D1093" s="28">
        <v>6.8486395099999999</v>
      </c>
      <c r="E1093" s="28">
        <v>26.9899174</v>
      </c>
      <c r="F1093" s="28">
        <v>25.5353955</v>
      </c>
      <c r="G1093" s="28">
        <v>22.587011799999999</v>
      </c>
      <c r="H1093" s="28">
        <v>64.6873212</v>
      </c>
      <c r="I1093" s="28">
        <v>65.589936100000003</v>
      </c>
      <c r="J1093" s="28">
        <v>982.31548499999997</v>
      </c>
      <c r="K1093" s="28">
        <v>885.27263900000003</v>
      </c>
      <c r="L1093" s="28">
        <v>6.2899958199999997</v>
      </c>
      <c r="M1093" s="28">
        <v>119.854956</v>
      </c>
      <c r="N1093" s="28">
        <v>81.813900099999998</v>
      </c>
      <c r="O1093" s="28">
        <v>1111.92021</v>
      </c>
      <c r="P1093" s="28">
        <v>888.079792</v>
      </c>
    </row>
    <row r="1094" spans="1:16" x14ac:dyDescent="0.25">
      <c r="A1094" s="40">
        <v>4</v>
      </c>
      <c r="B1094" s="40">
        <v>84</v>
      </c>
      <c r="C1094" s="28">
        <v>13.8038557</v>
      </c>
      <c r="D1094" s="28">
        <v>6.8032967500000003</v>
      </c>
      <c r="E1094" s="28">
        <v>26.698590800000002</v>
      </c>
      <c r="F1094" s="28">
        <v>25.749208299999999</v>
      </c>
      <c r="G1094" s="28">
        <v>22.9145121</v>
      </c>
      <c r="H1094" s="28">
        <v>64.258185400000002</v>
      </c>
      <c r="I1094" s="28">
        <v>65.910273200000006</v>
      </c>
      <c r="J1094" s="28">
        <v>978.64325899999994</v>
      </c>
      <c r="K1094" s="28">
        <v>879.71854499999995</v>
      </c>
      <c r="L1094" s="28">
        <v>6.4189596800000004</v>
      </c>
      <c r="M1094" s="28">
        <v>119.680459</v>
      </c>
      <c r="N1094" s="28">
        <v>81.193145400000006</v>
      </c>
      <c r="O1094" s="28">
        <v>1134.71792</v>
      </c>
      <c r="P1094" s="28">
        <v>865.28207899999995</v>
      </c>
    </row>
    <row r="1095" spans="1:16" x14ac:dyDescent="0.25">
      <c r="A1095" s="40">
        <v>4</v>
      </c>
      <c r="B1095" s="40">
        <v>85</v>
      </c>
      <c r="C1095" s="28">
        <v>13.897267899999999</v>
      </c>
      <c r="D1095" s="28">
        <v>6.9088498200000004</v>
      </c>
      <c r="E1095" s="28">
        <v>26.625272800000001</v>
      </c>
      <c r="F1095" s="28">
        <v>25.6820381</v>
      </c>
      <c r="G1095" s="28">
        <v>23.409400699999999</v>
      </c>
      <c r="H1095" s="28">
        <v>64.502132799999998</v>
      </c>
      <c r="I1095" s="28">
        <v>66.988059100000001</v>
      </c>
      <c r="J1095" s="28">
        <v>981.32349099999999</v>
      </c>
      <c r="K1095" s="28">
        <v>878.42770199999995</v>
      </c>
      <c r="L1095" s="28">
        <v>6.3382396300000003</v>
      </c>
      <c r="M1095" s="28">
        <v>120.485823</v>
      </c>
      <c r="N1095" s="28">
        <v>79.129366000000005</v>
      </c>
      <c r="O1095" s="28">
        <v>1120.4485500000001</v>
      </c>
      <c r="P1095" s="28">
        <v>879.55144600000006</v>
      </c>
    </row>
    <row r="1096" spans="1:16" x14ac:dyDescent="0.25">
      <c r="A1096" s="40">
        <v>4</v>
      </c>
      <c r="B1096" s="40">
        <v>86</v>
      </c>
      <c r="C1096" s="28">
        <v>13.9773613</v>
      </c>
      <c r="D1096" s="28">
        <v>6.9698631500000001</v>
      </c>
      <c r="E1096" s="28">
        <v>26.573153000000001</v>
      </c>
      <c r="F1096" s="28">
        <v>25.881501499999999</v>
      </c>
      <c r="G1096" s="28">
        <v>23.1661401</v>
      </c>
      <c r="H1096" s="28">
        <v>63.510554800000001</v>
      </c>
      <c r="I1096" s="28">
        <v>66.156702499999994</v>
      </c>
      <c r="J1096" s="28">
        <v>978.91062099999999</v>
      </c>
      <c r="K1096" s="28">
        <v>875.06886399999996</v>
      </c>
      <c r="L1096" s="28">
        <v>6.3385267799999996</v>
      </c>
      <c r="M1096" s="28">
        <v>120.34059999999999</v>
      </c>
      <c r="N1096" s="28">
        <v>78.301036800000006</v>
      </c>
      <c r="O1096" s="28">
        <v>1120.4993199999999</v>
      </c>
      <c r="P1096" s="28">
        <v>879.50068399999998</v>
      </c>
    </row>
    <row r="1097" spans="1:16" x14ac:dyDescent="0.25">
      <c r="A1097" s="40">
        <v>4</v>
      </c>
      <c r="B1097" s="40">
        <v>87</v>
      </c>
      <c r="C1097" s="28">
        <v>13.904535900000001</v>
      </c>
      <c r="D1097" s="28">
        <v>6.9670680000000003</v>
      </c>
      <c r="E1097" s="28">
        <v>26.3594252</v>
      </c>
      <c r="F1097" s="28">
        <v>25.849167300000001</v>
      </c>
      <c r="G1097" s="28">
        <v>23.085966800000001</v>
      </c>
      <c r="H1097" s="28">
        <v>64.472458399999994</v>
      </c>
      <c r="I1097" s="28">
        <v>65.005473800000004</v>
      </c>
      <c r="J1097" s="28">
        <v>981.955513</v>
      </c>
      <c r="K1097" s="28">
        <v>874.17491700000005</v>
      </c>
      <c r="L1097" s="28">
        <v>6.3629470399999999</v>
      </c>
      <c r="M1097" s="28">
        <v>120.161199</v>
      </c>
      <c r="N1097" s="28">
        <v>77.927427600000001</v>
      </c>
      <c r="O1097" s="28">
        <v>1124.8162299999999</v>
      </c>
      <c r="P1097" s="28">
        <v>875.18376999999998</v>
      </c>
    </row>
    <row r="1098" spans="1:16" x14ac:dyDescent="0.25">
      <c r="A1098" s="40">
        <v>4</v>
      </c>
      <c r="B1098" s="40">
        <v>88</v>
      </c>
      <c r="C1098" s="28">
        <v>13.8362224</v>
      </c>
      <c r="D1098" s="28">
        <v>6.9527391700000001</v>
      </c>
      <c r="E1098" s="28">
        <v>26.329008300000002</v>
      </c>
      <c r="F1098" s="28">
        <v>25.7931642</v>
      </c>
      <c r="G1098" s="28">
        <v>22.984479</v>
      </c>
      <c r="H1098" s="28">
        <v>64.231256400000007</v>
      </c>
      <c r="I1098" s="28">
        <v>64.420363399999999</v>
      </c>
      <c r="J1098" s="28">
        <v>979.19925899999998</v>
      </c>
      <c r="K1098" s="28">
        <v>873.98975099999996</v>
      </c>
      <c r="L1098" s="28">
        <v>6.4736686199999998</v>
      </c>
      <c r="M1098" s="28">
        <v>119.278555</v>
      </c>
      <c r="N1098" s="28">
        <v>78.598888200000005</v>
      </c>
      <c r="O1098" s="28">
        <v>1144.38915</v>
      </c>
      <c r="P1098" s="28">
        <v>855.61085300000002</v>
      </c>
    </row>
    <row r="1099" spans="1:16" x14ac:dyDescent="0.25">
      <c r="A1099" s="40">
        <v>4</v>
      </c>
      <c r="B1099" s="40">
        <v>89</v>
      </c>
      <c r="C1099" s="28">
        <v>13.7164176</v>
      </c>
      <c r="D1099" s="28">
        <v>6.9443627399999999</v>
      </c>
      <c r="E1099" s="28">
        <v>26.3896917</v>
      </c>
      <c r="F1099" s="28">
        <v>25.822103800000001</v>
      </c>
      <c r="G1099" s="28">
        <v>23.017890399999999</v>
      </c>
      <c r="H1099" s="28">
        <v>63.918342000000003</v>
      </c>
      <c r="I1099" s="28">
        <v>64.139778399999997</v>
      </c>
      <c r="J1099" s="28">
        <v>981.06559500000003</v>
      </c>
      <c r="K1099" s="28">
        <v>870.33202800000004</v>
      </c>
      <c r="L1099" s="28">
        <v>6.5080170400000004</v>
      </c>
      <c r="M1099" s="28">
        <v>118.519976</v>
      </c>
      <c r="N1099" s="28">
        <v>79.374332499999994</v>
      </c>
      <c r="O1099" s="28">
        <v>1150.4611199999999</v>
      </c>
      <c r="P1099" s="28">
        <v>849.53887699999996</v>
      </c>
    </row>
    <row r="1100" spans="1:16" x14ac:dyDescent="0.25">
      <c r="A1100" s="40">
        <v>4</v>
      </c>
      <c r="B1100" s="40">
        <v>90</v>
      </c>
      <c r="C1100" s="28">
        <v>13.7087404</v>
      </c>
      <c r="D1100" s="28">
        <v>6.9917514799999996</v>
      </c>
      <c r="E1100" s="28">
        <v>26.553655500000001</v>
      </c>
      <c r="F1100" s="28">
        <v>25.923069999999999</v>
      </c>
      <c r="G1100" s="28">
        <v>23.1152166</v>
      </c>
      <c r="H1100" s="28">
        <v>63.625554899999997</v>
      </c>
      <c r="I1100" s="28">
        <v>65.429073900000006</v>
      </c>
      <c r="J1100" s="28">
        <v>977.67947800000002</v>
      </c>
      <c r="K1100" s="28">
        <v>869.74728100000004</v>
      </c>
      <c r="L1100" s="28">
        <v>6.4857973600000003</v>
      </c>
      <c r="M1100" s="28">
        <v>118.798688</v>
      </c>
      <c r="N1100" s="28">
        <v>80.026840100000001</v>
      </c>
      <c r="O1100" s="28">
        <v>1146.53322</v>
      </c>
      <c r="P1100" s="28">
        <v>853.46678299999996</v>
      </c>
    </row>
    <row r="1101" spans="1:16" x14ac:dyDescent="0.25">
      <c r="A1101" s="40">
        <v>4</v>
      </c>
      <c r="B1101" s="40">
        <v>91</v>
      </c>
      <c r="C1101" s="28">
        <v>13.808509000000001</v>
      </c>
      <c r="D1101" s="28">
        <v>7.0096303200000003</v>
      </c>
      <c r="E1101" s="28">
        <v>26.896315900000001</v>
      </c>
      <c r="F1101" s="28">
        <v>26.1089789</v>
      </c>
      <c r="G1101" s="28">
        <v>23.085762599999999</v>
      </c>
      <c r="H1101" s="28">
        <v>63.701931799999997</v>
      </c>
      <c r="I1101" s="28">
        <v>65.328904300000005</v>
      </c>
      <c r="J1101" s="28">
        <v>980.53308000000004</v>
      </c>
      <c r="K1101" s="28">
        <v>872.40906500000006</v>
      </c>
      <c r="L1101" s="28">
        <v>6.4507610299999998</v>
      </c>
      <c r="M1101" s="28">
        <v>119.164587</v>
      </c>
      <c r="N1101" s="28">
        <v>79.550274400000006</v>
      </c>
      <c r="O1101" s="28">
        <v>1140.3396399999999</v>
      </c>
      <c r="P1101" s="28">
        <v>859.66036399999996</v>
      </c>
    </row>
    <row r="1102" spans="1:16" x14ac:dyDescent="0.25">
      <c r="A1102" s="40">
        <v>4</v>
      </c>
      <c r="B1102" s="40">
        <v>92</v>
      </c>
      <c r="C1102" s="28">
        <v>13.8301418</v>
      </c>
      <c r="D1102" s="28">
        <v>6.9680527000000003</v>
      </c>
      <c r="E1102" s="28">
        <v>26.8873344</v>
      </c>
      <c r="F1102" s="28">
        <v>26.2107916</v>
      </c>
      <c r="G1102" s="28">
        <v>23.059481300000002</v>
      </c>
      <c r="H1102" s="28">
        <v>63.250400800000001</v>
      </c>
      <c r="I1102" s="28">
        <v>64.818759200000002</v>
      </c>
      <c r="J1102" s="28">
        <v>977.99834199999998</v>
      </c>
      <c r="K1102" s="28">
        <v>879.00453500000003</v>
      </c>
      <c r="L1102" s="28">
        <v>6.4079586199999996</v>
      </c>
      <c r="M1102" s="28">
        <v>119.694007</v>
      </c>
      <c r="N1102" s="28">
        <v>78.764185800000007</v>
      </c>
      <c r="O1102" s="28">
        <v>1132.7732000000001</v>
      </c>
      <c r="P1102" s="28">
        <v>867.22680300000002</v>
      </c>
    </row>
    <row r="1103" spans="1:16" x14ac:dyDescent="0.25">
      <c r="A1103" s="40">
        <v>4</v>
      </c>
      <c r="B1103" s="40">
        <v>93</v>
      </c>
      <c r="C1103" s="28">
        <v>13.7824556</v>
      </c>
      <c r="D1103" s="28">
        <v>7.0406726400000004</v>
      </c>
      <c r="E1103" s="28">
        <v>27.288508700000001</v>
      </c>
      <c r="F1103" s="28">
        <v>26.390345400000001</v>
      </c>
      <c r="G1103" s="28">
        <v>23.015933700000001</v>
      </c>
      <c r="H1103" s="28">
        <v>63.351484200000002</v>
      </c>
      <c r="I1103" s="28">
        <v>64.851639899999995</v>
      </c>
      <c r="J1103" s="28">
        <v>979.90411300000005</v>
      </c>
      <c r="K1103" s="28">
        <v>883.912691</v>
      </c>
      <c r="L1103" s="28">
        <v>6.3119255499999998</v>
      </c>
      <c r="M1103" s="28">
        <v>120.548536</v>
      </c>
      <c r="N1103" s="28">
        <v>78.046511199999998</v>
      </c>
      <c r="O1103" s="28">
        <v>1115.7968599999999</v>
      </c>
      <c r="P1103" s="28">
        <v>884.20314199999996</v>
      </c>
    </row>
    <row r="1104" spans="1:16" x14ac:dyDescent="0.25">
      <c r="A1104" s="40">
        <v>4</v>
      </c>
      <c r="B1104" s="40">
        <v>94</v>
      </c>
      <c r="C1104" s="28">
        <v>13.8231088</v>
      </c>
      <c r="D1104" s="28">
        <v>7.0743655399999996</v>
      </c>
      <c r="E1104" s="28">
        <v>27.133621699999999</v>
      </c>
      <c r="F1104" s="28">
        <v>26.344246500000001</v>
      </c>
      <c r="G1104" s="28">
        <v>23.076760799999999</v>
      </c>
      <c r="H1104" s="28">
        <v>63.856017899999998</v>
      </c>
      <c r="I1104" s="28">
        <v>64.848493099999999</v>
      </c>
      <c r="J1104" s="28">
        <v>977.76238999999998</v>
      </c>
      <c r="K1104" s="28">
        <v>885.12627799999996</v>
      </c>
      <c r="L1104" s="28">
        <v>6.4407992800000002</v>
      </c>
      <c r="M1104" s="28">
        <v>121.24848799999999</v>
      </c>
      <c r="N1104" s="28">
        <v>80.428862199999998</v>
      </c>
      <c r="O1104" s="28">
        <v>1138.57864</v>
      </c>
      <c r="P1104" s="28">
        <v>861.42136200000004</v>
      </c>
    </row>
    <row r="1105" spans="1:16" x14ac:dyDescent="0.25">
      <c r="A1105" s="40">
        <v>4</v>
      </c>
      <c r="B1105" s="40">
        <v>95</v>
      </c>
      <c r="C1105" s="28">
        <v>13.735527899999999</v>
      </c>
      <c r="D1105" s="28">
        <v>7.1471375699999999</v>
      </c>
      <c r="E1105" s="28">
        <v>26.877941700000001</v>
      </c>
      <c r="F1105" s="28">
        <v>26.461427700000002</v>
      </c>
      <c r="G1105" s="28">
        <v>23.303068499999998</v>
      </c>
      <c r="H1105" s="28">
        <v>64.745157500000005</v>
      </c>
      <c r="I1105" s="28">
        <v>65.654145600000007</v>
      </c>
      <c r="J1105" s="28">
        <v>979.42375300000003</v>
      </c>
      <c r="K1105" s="28">
        <v>881.19068500000003</v>
      </c>
      <c r="L1105" s="28">
        <v>6.4943508799999998</v>
      </c>
      <c r="M1105" s="28">
        <v>121.447481</v>
      </c>
      <c r="N1105" s="28">
        <v>79.552250200000003</v>
      </c>
      <c r="O1105" s="28">
        <v>1148.0452700000001</v>
      </c>
      <c r="P1105" s="28">
        <v>851.95472600000005</v>
      </c>
    </row>
    <row r="1106" spans="1:16" x14ac:dyDescent="0.25">
      <c r="A1106" s="40">
        <v>4</v>
      </c>
      <c r="B1106" s="40">
        <v>96</v>
      </c>
      <c r="C1106" s="28">
        <v>13.8520839</v>
      </c>
      <c r="D1106" s="28">
        <v>7.17801445</v>
      </c>
      <c r="E1106" s="28">
        <v>27.181949599999999</v>
      </c>
      <c r="F1106" s="28">
        <v>26.6983538</v>
      </c>
      <c r="G1106" s="28">
        <v>23.371630700000001</v>
      </c>
      <c r="H1106" s="28">
        <v>65.298565499999995</v>
      </c>
      <c r="I1106" s="28">
        <v>66.868808799999996</v>
      </c>
      <c r="J1106" s="28">
        <v>976.91510700000003</v>
      </c>
      <c r="K1106" s="28">
        <v>878.28863999999999</v>
      </c>
      <c r="L1106" s="28">
        <v>6.4599389900000004</v>
      </c>
      <c r="M1106" s="28">
        <v>121.93718200000001</v>
      </c>
      <c r="N1106" s="28">
        <v>78.720990599999993</v>
      </c>
      <c r="O1106" s="28">
        <v>1141.96208</v>
      </c>
      <c r="P1106" s="28">
        <v>858.03792199999998</v>
      </c>
    </row>
    <row r="1107" spans="1:16" x14ac:dyDescent="0.25">
      <c r="A1107" s="40">
        <v>4</v>
      </c>
      <c r="B1107" s="40">
        <v>97</v>
      </c>
      <c r="C1107" s="28">
        <v>13.810660199999999</v>
      </c>
      <c r="D1107" s="28">
        <v>7.1965978100000001</v>
      </c>
      <c r="E1107" s="28">
        <v>27.143061500000002</v>
      </c>
      <c r="F1107" s="28">
        <v>26.792795900000002</v>
      </c>
      <c r="G1107" s="28">
        <v>23.241064600000001</v>
      </c>
      <c r="H1107" s="28">
        <v>64.318441300000003</v>
      </c>
      <c r="I1107" s="28">
        <v>65.943548699999994</v>
      </c>
      <c r="J1107" s="28">
        <v>979.10403699999995</v>
      </c>
      <c r="K1107" s="28">
        <v>879.81156699999997</v>
      </c>
      <c r="L1107" s="28">
        <v>6.4125550599999999</v>
      </c>
      <c r="M1107" s="28">
        <v>121.33593500000001</v>
      </c>
      <c r="N1107" s="28">
        <v>78.126052400000006</v>
      </c>
      <c r="O1107" s="28">
        <v>1133.58574</v>
      </c>
      <c r="P1107" s="28">
        <v>866.41426200000001</v>
      </c>
    </row>
    <row r="1108" spans="1:16" x14ac:dyDescent="0.25">
      <c r="A1108" s="40">
        <v>4</v>
      </c>
      <c r="B1108" s="40">
        <v>98</v>
      </c>
      <c r="C1108" s="28">
        <v>13.8686112</v>
      </c>
      <c r="D1108" s="28">
        <v>7.2143155099999996</v>
      </c>
      <c r="E1108" s="28">
        <v>26.920418699999999</v>
      </c>
      <c r="F1108" s="28">
        <v>26.812476199999999</v>
      </c>
      <c r="G1108" s="28">
        <v>23.2504922</v>
      </c>
      <c r="H1108" s="28">
        <v>63.969942600000003</v>
      </c>
      <c r="I1108" s="28">
        <v>66.456765200000007</v>
      </c>
      <c r="J1108" s="28">
        <v>976.77564099999995</v>
      </c>
      <c r="K1108" s="28">
        <v>879.02176099999997</v>
      </c>
      <c r="L1108" s="28">
        <v>6.4148342500000002</v>
      </c>
      <c r="M1108" s="28">
        <v>122.018968</v>
      </c>
      <c r="N1108" s="28">
        <v>79.075406900000004</v>
      </c>
      <c r="O1108" s="28">
        <v>1133.98864</v>
      </c>
      <c r="P1108" s="28">
        <v>866.01135699999998</v>
      </c>
    </row>
    <row r="1109" spans="1:16" x14ac:dyDescent="0.25">
      <c r="A1109" s="40">
        <v>4</v>
      </c>
      <c r="B1109" s="40">
        <v>99</v>
      </c>
      <c r="C1109" s="28">
        <v>13.9354259</v>
      </c>
      <c r="D1109" s="28">
        <v>7.2338493100000001</v>
      </c>
      <c r="E1109" s="28">
        <v>26.910851600000001</v>
      </c>
      <c r="F1109" s="28">
        <v>26.679772799999999</v>
      </c>
      <c r="G1109" s="28">
        <v>23.1785991</v>
      </c>
      <c r="H1109" s="28">
        <v>64.150118899999995</v>
      </c>
      <c r="I1109" s="28">
        <v>66.312523100000007</v>
      </c>
      <c r="J1109" s="28">
        <v>979.94188999999994</v>
      </c>
      <c r="K1109" s="28">
        <v>879.09660899999994</v>
      </c>
      <c r="L1109" s="28">
        <v>6.4235924400000002</v>
      </c>
      <c r="M1109" s="28">
        <v>122.08983000000001</v>
      </c>
      <c r="N1109" s="28">
        <v>79.176468600000007</v>
      </c>
      <c r="O1109" s="28">
        <v>1135.5368800000001</v>
      </c>
      <c r="P1109" s="28">
        <v>864.46311900000001</v>
      </c>
    </row>
    <row r="1110" spans="1:16" x14ac:dyDescent="0.25">
      <c r="A1110" s="40">
        <v>4</v>
      </c>
      <c r="B1110" s="40">
        <v>100</v>
      </c>
      <c r="C1110" s="28">
        <v>13.989565300000001</v>
      </c>
      <c r="D1110" s="28">
        <v>7.2080380999999996</v>
      </c>
      <c r="E1110" s="28">
        <v>26.882823900000002</v>
      </c>
      <c r="F1110" s="28">
        <v>26.5076134</v>
      </c>
      <c r="G1110" s="28">
        <v>23.2591444</v>
      </c>
      <c r="H1110" s="28">
        <v>64.384444400000007</v>
      </c>
      <c r="I1110" s="28">
        <v>66.008712799999998</v>
      </c>
      <c r="J1110" s="28">
        <v>978.18326200000001</v>
      </c>
      <c r="K1110" s="28">
        <v>871.04918399999997</v>
      </c>
      <c r="L1110" s="28">
        <v>6.4213838000000001</v>
      </c>
      <c r="M1110" s="28">
        <v>122.220944</v>
      </c>
      <c r="N1110" s="28">
        <v>79.467705199999997</v>
      </c>
      <c r="O1110" s="28">
        <v>1135.14645</v>
      </c>
      <c r="P1110" s="28">
        <v>864.85355400000003</v>
      </c>
    </row>
    <row r="1111" spans="1:16" x14ac:dyDescent="0.25">
      <c r="A1111" s="40">
        <v>4</v>
      </c>
      <c r="B1111" s="40">
        <v>101</v>
      </c>
      <c r="C1111" s="28">
        <v>13.8061319</v>
      </c>
      <c r="D1111" s="28">
        <v>7.1732624600000001</v>
      </c>
      <c r="E1111" s="28">
        <v>26.725037700000001</v>
      </c>
      <c r="F1111" s="28">
        <v>26.489065499999999</v>
      </c>
      <c r="G1111" s="28">
        <v>22.934826600000001</v>
      </c>
      <c r="H1111" s="28">
        <v>63.727848999999999</v>
      </c>
      <c r="I1111" s="28">
        <v>64.4832246</v>
      </c>
      <c r="J1111" s="28">
        <v>980.11190999999997</v>
      </c>
      <c r="K1111" s="28">
        <v>873.38415399999997</v>
      </c>
      <c r="L1111" s="28">
        <v>6.4713945500000003</v>
      </c>
      <c r="M1111" s="28">
        <v>121.184957</v>
      </c>
      <c r="N1111" s="28">
        <v>79.196788400000003</v>
      </c>
      <c r="O1111" s="28">
        <v>1143.9871499999999</v>
      </c>
      <c r="P1111" s="28">
        <v>856.01285399999995</v>
      </c>
    </row>
    <row r="1112" spans="1:16" x14ac:dyDescent="0.25">
      <c r="A1112" s="40">
        <v>4</v>
      </c>
      <c r="B1112" s="40">
        <v>102</v>
      </c>
      <c r="C1112" s="28">
        <v>13.722098900000001</v>
      </c>
      <c r="D1112" s="28">
        <v>7.1879361900000003</v>
      </c>
      <c r="E1112" s="28">
        <v>26.323487100000001</v>
      </c>
      <c r="F1112" s="28">
        <v>26.467781500000001</v>
      </c>
      <c r="G1112" s="28">
        <v>22.770144800000001</v>
      </c>
      <c r="H1112" s="28">
        <v>63.453530600000001</v>
      </c>
      <c r="I1112" s="28">
        <v>63.6605092</v>
      </c>
      <c r="J1112" s="28">
        <v>977.64056700000003</v>
      </c>
      <c r="K1112" s="28">
        <v>874.10017900000003</v>
      </c>
      <c r="L1112" s="28">
        <v>6.4148297899999998</v>
      </c>
      <c r="M1112" s="28">
        <v>120.77821299999999</v>
      </c>
      <c r="N1112" s="28">
        <v>78.882762999999997</v>
      </c>
      <c r="O1112" s="28">
        <v>1133.98786</v>
      </c>
      <c r="P1112" s="28">
        <v>866.01214500000003</v>
      </c>
    </row>
    <row r="1113" spans="1:16" x14ac:dyDescent="0.25">
      <c r="A1113" s="40">
        <v>4</v>
      </c>
      <c r="B1113" s="40">
        <v>103</v>
      </c>
      <c r="C1113" s="28">
        <v>13.6124908</v>
      </c>
      <c r="D1113" s="28">
        <v>7.1897477800000003</v>
      </c>
      <c r="E1113" s="28">
        <v>26.363581199999999</v>
      </c>
      <c r="F1113" s="28">
        <v>26.914732699999998</v>
      </c>
      <c r="G1113" s="28">
        <v>22.897266500000001</v>
      </c>
      <c r="H1113" s="28">
        <v>63.856997</v>
      </c>
      <c r="I1113" s="28">
        <v>64.467676400000002</v>
      </c>
      <c r="J1113" s="28">
        <v>978.39376900000002</v>
      </c>
      <c r="K1113" s="28">
        <v>879.00373400000001</v>
      </c>
      <c r="L1113" s="28">
        <v>6.4522077800000002</v>
      </c>
      <c r="M1113" s="28">
        <v>121.31631899999999</v>
      </c>
      <c r="N1113" s="28">
        <v>79.116676600000005</v>
      </c>
      <c r="O1113" s="28">
        <v>1140.59539</v>
      </c>
      <c r="P1113" s="28">
        <v>859.40461300000004</v>
      </c>
    </row>
    <row r="1114" spans="1:16" x14ac:dyDescent="0.25">
      <c r="A1114" s="40">
        <v>4</v>
      </c>
      <c r="B1114" s="40">
        <v>104</v>
      </c>
      <c r="C1114" s="28">
        <v>13.5838944</v>
      </c>
      <c r="D1114" s="28">
        <v>7.1954990700000003</v>
      </c>
      <c r="E1114" s="28">
        <v>26.664355100000002</v>
      </c>
      <c r="F1114" s="28">
        <v>26.600879599999999</v>
      </c>
      <c r="G1114" s="28">
        <v>22.504137700000001</v>
      </c>
      <c r="H1114" s="28">
        <v>64.525072800000004</v>
      </c>
      <c r="I1114" s="28">
        <v>63.772409500000002</v>
      </c>
      <c r="J1114" s="28">
        <v>977.06453899999997</v>
      </c>
      <c r="K1114" s="28">
        <v>885.16833899999995</v>
      </c>
      <c r="L1114" s="28">
        <v>6.5050302699999998</v>
      </c>
      <c r="M1114" s="28">
        <v>120.755775</v>
      </c>
      <c r="N1114" s="28">
        <v>79.077498199999994</v>
      </c>
      <c r="O1114" s="28">
        <v>1149.9331299999999</v>
      </c>
      <c r="P1114" s="28">
        <v>850.066866</v>
      </c>
    </row>
    <row r="1115" spans="1:16" x14ac:dyDescent="0.25">
      <c r="A1115" s="40">
        <v>4</v>
      </c>
      <c r="B1115" s="40">
        <v>105</v>
      </c>
      <c r="C1115" s="28">
        <v>13.631845200000001</v>
      </c>
      <c r="D1115" s="28">
        <v>7.2143022500000002</v>
      </c>
      <c r="E1115" s="28">
        <v>26.541878499999999</v>
      </c>
      <c r="F1115" s="28">
        <v>26.185283999999999</v>
      </c>
      <c r="G1115" s="28">
        <v>22.7268881</v>
      </c>
      <c r="H1115" s="28">
        <v>64.7038151</v>
      </c>
      <c r="I1115" s="28">
        <v>64.853741499999998</v>
      </c>
      <c r="J1115" s="28">
        <v>979.92458299999998</v>
      </c>
      <c r="K1115" s="28">
        <v>891.48827500000004</v>
      </c>
      <c r="L1115" s="28">
        <v>6.49191553</v>
      </c>
      <c r="M1115" s="28">
        <v>121.23784000000001</v>
      </c>
      <c r="N1115" s="28">
        <v>80.089125499999994</v>
      </c>
      <c r="O1115" s="28">
        <v>1147.6147599999999</v>
      </c>
      <c r="P1115" s="28">
        <v>852.38523699999996</v>
      </c>
    </row>
    <row r="1116" spans="1:16" x14ac:dyDescent="0.25">
      <c r="A1116" s="40">
        <v>4</v>
      </c>
      <c r="B1116" s="40">
        <v>106</v>
      </c>
      <c r="C1116" s="28">
        <v>13.7323808</v>
      </c>
      <c r="D1116" s="28">
        <v>7.2378762999999999</v>
      </c>
      <c r="E1116" s="28">
        <v>26.696612500000001</v>
      </c>
      <c r="F1116" s="28">
        <v>26.183691</v>
      </c>
      <c r="G1116" s="28">
        <v>22.7865897</v>
      </c>
      <c r="H1116" s="28">
        <v>65.548388700000004</v>
      </c>
      <c r="I1116" s="28">
        <v>64.263015899999999</v>
      </c>
      <c r="J1116" s="28">
        <v>978.40787699999998</v>
      </c>
      <c r="K1116" s="28">
        <v>893.39675999999997</v>
      </c>
      <c r="L1116" s="28">
        <v>6.4306274999999999</v>
      </c>
      <c r="M1116" s="28">
        <v>121.381484</v>
      </c>
      <c r="N1116" s="28">
        <v>80.061831799999993</v>
      </c>
      <c r="O1116" s="28">
        <v>1136.78051</v>
      </c>
      <c r="P1116" s="28">
        <v>863.21948899999995</v>
      </c>
    </row>
    <row r="1117" spans="1:16" x14ac:dyDescent="0.25">
      <c r="A1117" s="40">
        <v>4</v>
      </c>
      <c r="B1117" s="40">
        <v>107</v>
      </c>
      <c r="C1117" s="28">
        <v>13.664308800000001</v>
      </c>
      <c r="D1117" s="28">
        <v>7.2723702000000001</v>
      </c>
      <c r="E1117" s="28">
        <v>26.596951700000002</v>
      </c>
      <c r="F1117" s="28">
        <v>25.949875200000001</v>
      </c>
      <c r="G1117" s="28">
        <v>22.6936128</v>
      </c>
      <c r="H1117" s="28">
        <v>66.5864519</v>
      </c>
      <c r="I1117" s="28">
        <v>63.8914464</v>
      </c>
      <c r="J1117" s="28">
        <v>981.04384200000004</v>
      </c>
      <c r="K1117" s="28">
        <v>887.28924900000004</v>
      </c>
      <c r="L1117" s="28">
        <v>6.5375856299999997</v>
      </c>
      <c r="M1117" s="28">
        <v>120.94182499999999</v>
      </c>
      <c r="N1117" s="28">
        <v>78.307233999999994</v>
      </c>
      <c r="O1117" s="28">
        <v>1155.68814</v>
      </c>
      <c r="P1117" s="28">
        <v>844.31185900000003</v>
      </c>
    </row>
    <row r="1118" spans="1:16" x14ac:dyDescent="0.25">
      <c r="A1118" s="40">
        <v>4</v>
      </c>
      <c r="B1118" s="40">
        <v>108</v>
      </c>
      <c r="C1118" s="28">
        <v>13.6481081</v>
      </c>
      <c r="D1118" s="28">
        <v>7.2871270600000004</v>
      </c>
      <c r="E1118" s="28">
        <v>26.521536900000001</v>
      </c>
      <c r="F1118" s="28">
        <v>26.013024900000001</v>
      </c>
      <c r="G1118" s="28">
        <v>22.853318099999999</v>
      </c>
      <c r="H1118" s="28">
        <v>67.644648799999999</v>
      </c>
      <c r="I1118" s="28">
        <v>64.589324000000005</v>
      </c>
      <c r="J1118" s="28">
        <v>978.431692</v>
      </c>
      <c r="K1118" s="28">
        <v>890.07593799999995</v>
      </c>
      <c r="L1118" s="28">
        <v>6.49188191</v>
      </c>
      <c r="M1118" s="28">
        <v>122.03250800000001</v>
      </c>
      <c r="N1118" s="28">
        <v>77.342151900000005</v>
      </c>
      <c r="O1118" s="28">
        <v>1147.6088199999999</v>
      </c>
      <c r="P1118" s="28">
        <v>852.39117999999996</v>
      </c>
    </row>
    <row r="1119" spans="1:16" x14ac:dyDescent="0.25">
      <c r="A1119" s="40">
        <v>4</v>
      </c>
      <c r="B1119" s="40">
        <v>109</v>
      </c>
      <c r="C1119" s="28">
        <v>13.570958600000001</v>
      </c>
      <c r="D1119" s="28">
        <v>7.2402392899999999</v>
      </c>
      <c r="E1119" s="28">
        <v>26.346799499999999</v>
      </c>
      <c r="F1119" s="28">
        <v>25.814117199999998</v>
      </c>
      <c r="G1119" s="28">
        <v>22.773640499999999</v>
      </c>
      <c r="H1119" s="28">
        <v>66.804389200000003</v>
      </c>
      <c r="I1119" s="28">
        <v>64.703270399999994</v>
      </c>
      <c r="J1119" s="28">
        <v>980.42737299999999</v>
      </c>
      <c r="K1119" s="28">
        <v>882.97398399999997</v>
      </c>
      <c r="L1119" s="28">
        <v>6.5920380999999999</v>
      </c>
      <c r="M1119" s="28">
        <v>121.24620299999999</v>
      </c>
      <c r="N1119" s="28">
        <v>78.482519699999997</v>
      </c>
      <c r="O1119" s="28">
        <v>1165.31403</v>
      </c>
      <c r="P1119" s="28">
        <v>834.68597199999999</v>
      </c>
    </row>
    <row r="1120" spans="1:16" x14ac:dyDescent="0.25">
      <c r="A1120" s="40">
        <v>4</v>
      </c>
      <c r="B1120" s="40">
        <v>110</v>
      </c>
      <c r="C1120" s="28">
        <v>13.5681335</v>
      </c>
      <c r="D1120" s="28">
        <v>7.2531937900000001</v>
      </c>
      <c r="E1120" s="28">
        <v>26.4063929</v>
      </c>
      <c r="F1120" s="28">
        <v>25.804267800000002</v>
      </c>
      <c r="G1120" s="28">
        <v>22.958432899999998</v>
      </c>
      <c r="H1120" s="28">
        <v>67.755655099999998</v>
      </c>
      <c r="I1120" s="28">
        <v>64.412807099999995</v>
      </c>
      <c r="J1120" s="28">
        <v>978.14626399999997</v>
      </c>
      <c r="K1120" s="28">
        <v>886.05904399999997</v>
      </c>
      <c r="L1120" s="28">
        <v>6.5532457600000003</v>
      </c>
      <c r="M1120" s="28">
        <v>121.702477</v>
      </c>
      <c r="N1120" s="28">
        <v>77.374189099999995</v>
      </c>
      <c r="O1120" s="28">
        <v>1158.4564700000001</v>
      </c>
      <c r="P1120" s="28">
        <v>841.54352500000005</v>
      </c>
    </row>
    <row r="1121" spans="1:16" x14ac:dyDescent="0.25">
      <c r="A1121" s="40">
        <v>4</v>
      </c>
      <c r="B1121" s="40">
        <v>111</v>
      </c>
      <c r="C1121" s="28">
        <v>13.5086207</v>
      </c>
      <c r="D1121" s="28">
        <v>7.3334744000000001</v>
      </c>
      <c r="E1121" s="28">
        <v>26.346369800000002</v>
      </c>
      <c r="F1121" s="28">
        <v>25.6814888</v>
      </c>
      <c r="G1121" s="28">
        <v>23.261608899999999</v>
      </c>
      <c r="H1121" s="28">
        <v>67.707750099999998</v>
      </c>
      <c r="I1121" s="28">
        <v>63.736522899999997</v>
      </c>
      <c r="J1121" s="28">
        <v>979.78657299999998</v>
      </c>
      <c r="K1121" s="28">
        <v>884.79416700000002</v>
      </c>
      <c r="L1121" s="28">
        <v>6.5605981599999996</v>
      </c>
      <c r="M1121" s="28">
        <v>121.830271</v>
      </c>
      <c r="N1121" s="28">
        <v>76.268461500000001</v>
      </c>
      <c r="O1121" s="28">
        <v>1159.7562</v>
      </c>
      <c r="P1121" s="28">
        <v>840.24379799999997</v>
      </c>
    </row>
    <row r="1122" spans="1:16" x14ac:dyDescent="0.25">
      <c r="A1122" s="40">
        <v>4</v>
      </c>
      <c r="B1122" s="40">
        <v>112</v>
      </c>
      <c r="C1122" s="28">
        <v>13.4879789</v>
      </c>
      <c r="D1122" s="28">
        <v>7.2816126900000002</v>
      </c>
      <c r="E1122" s="28">
        <v>26.515724599999999</v>
      </c>
      <c r="F1122" s="28">
        <v>25.529198999999998</v>
      </c>
      <c r="G1122" s="28">
        <v>23.0620732</v>
      </c>
      <c r="H1122" s="28">
        <v>67.598111799999998</v>
      </c>
      <c r="I1122" s="28">
        <v>63.072922400000003</v>
      </c>
      <c r="J1122" s="28">
        <v>977.94291199999998</v>
      </c>
      <c r="K1122" s="28">
        <v>884.58041800000001</v>
      </c>
      <c r="L1122" s="28">
        <v>6.52794396</v>
      </c>
      <c r="M1122" s="28">
        <v>121.268404</v>
      </c>
      <c r="N1122" s="28">
        <v>76.692965400000006</v>
      </c>
      <c r="O1122" s="28">
        <v>1153.9837199999999</v>
      </c>
      <c r="P1122" s="28">
        <v>846.01627599999995</v>
      </c>
    </row>
    <row r="1123" spans="1:16" x14ac:dyDescent="0.25">
      <c r="A1123" s="40">
        <v>4</v>
      </c>
      <c r="B1123" s="40">
        <v>113</v>
      </c>
      <c r="C1123" s="28">
        <v>13.4470437</v>
      </c>
      <c r="D1123" s="28">
        <v>7.2788043199999999</v>
      </c>
      <c r="E1123" s="28">
        <v>26.679385100000001</v>
      </c>
      <c r="F1123" s="28">
        <v>25.577663099999999</v>
      </c>
      <c r="G1123" s="28">
        <v>23.024676199999998</v>
      </c>
      <c r="H1123" s="28">
        <v>66.962297000000007</v>
      </c>
      <c r="I1123" s="28">
        <v>63.163040100000003</v>
      </c>
      <c r="J1123" s="28">
        <v>979.49474199999997</v>
      </c>
      <c r="K1123" s="28">
        <v>884.21663899999999</v>
      </c>
      <c r="L1123" s="28">
        <v>6.4261834999999996</v>
      </c>
      <c r="M1123" s="28">
        <v>121.154596</v>
      </c>
      <c r="N1123" s="28">
        <v>76.364210999999997</v>
      </c>
      <c r="O1123" s="28">
        <v>1135.9949200000001</v>
      </c>
      <c r="P1123" s="28">
        <v>864.00508200000002</v>
      </c>
    </row>
    <row r="1124" spans="1:16" x14ac:dyDescent="0.25">
      <c r="A1124" s="40">
        <v>4</v>
      </c>
      <c r="B1124" s="40">
        <v>114</v>
      </c>
      <c r="C1124" s="28">
        <v>13.5233059</v>
      </c>
      <c r="D1124" s="28">
        <v>7.2374500299999998</v>
      </c>
      <c r="E1124" s="28">
        <v>26.742375200000001</v>
      </c>
      <c r="F1124" s="28">
        <v>26.027054700000001</v>
      </c>
      <c r="G1124" s="28">
        <v>23.1427072</v>
      </c>
      <c r="H1124" s="28">
        <v>68.150305299999999</v>
      </c>
      <c r="I1124" s="28">
        <v>62.672932600000003</v>
      </c>
      <c r="J1124" s="28">
        <v>977.23823000000004</v>
      </c>
      <c r="K1124" s="28">
        <v>877.46013200000004</v>
      </c>
      <c r="L1124" s="28">
        <v>6.4172195700000003</v>
      </c>
      <c r="M1124" s="28">
        <v>121.596343</v>
      </c>
      <c r="N1124" s="28">
        <v>77.763543799999994</v>
      </c>
      <c r="O1124" s="28">
        <v>1134.41031</v>
      </c>
      <c r="P1124" s="28">
        <v>865.58968900000002</v>
      </c>
    </row>
    <row r="1125" spans="1:16" x14ac:dyDescent="0.25">
      <c r="A1125" s="40">
        <v>4</v>
      </c>
      <c r="B1125" s="40">
        <v>115</v>
      </c>
      <c r="C1125" s="28">
        <v>13.5696031</v>
      </c>
      <c r="D1125" s="28">
        <v>7.1909110900000002</v>
      </c>
      <c r="E1125" s="28">
        <v>26.7112376</v>
      </c>
      <c r="F1125" s="28">
        <v>25.899433200000001</v>
      </c>
      <c r="G1125" s="28">
        <v>23.171757100000001</v>
      </c>
      <c r="H1125" s="28">
        <v>69.368656099999995</v>
      </c>
      <c r="I1125" s="28">
        <v>62.766643999999999</v>
      </c>
      <c r="J1125" s="28">
        <v>980.065789</v>
      </c>
      <c r="K1125" s="28">
        <v>878.80222100000003</v>
      </c>
      <c r="L1125" s="28">
        <v>6.4495851100000001</v>
      </c>
      <c r="M1125" s="28">
        <v>121.742915</v>
      </c>
      <c r="N1125" s="28">
        <v>78.690097600000001</v>
      </c>
      <c r="O1125" s="28">
        <v>1140.13176</v>
      </c>
      <c r="P1125" s="28">
        <v>859.86823900000002</v>
      </c>
    </row>
    <row r="1126" spans="1:16" x14ac:dyDescent="0.25">
      <c r="A1126" s="40">
        <v>4</v>
      </c>
      <c r="B1126" s="40">
        <v>116</v>
      </c>
      <c r="C1126" s="28">
        <v>13.590937800000001</v>
      </c>
      <c r="D1126" s="28">
        <v>7.2477073499999998</v>
      </c>
      <c r="E1126" s="28">
        <v>26.594664300000002</v>
      </c>
      <c r="F1126" s="28">
        <v>25.971669200000001</v>
      </c>
      <c r="G1126" s="28">
        <v>23.117883299999999</v>
      </c>
      <c r="H1126" s="28">
        <v>70.098770700000003</v>
      </c>
      <c r="I1126" s="28">
        <v>62.173355200000003</v>
      </c>
      <c r="J1126" s="28">
        <v>978.26209200000005</v>
      </c>
      <c r="K1126" s="28">
        <v>881.48485200000005</v>
      </c>
      <c r="L1126" s="28">
        <v>6.4214043500000004</v>
      </c>
      <c r="M1126" s="28">
        <v>121.82360199999999</v>
      </c>
      <c r="N1126" s="28">
        <v>77.7950613</v>
      </c>
      <c r="O1126" s="28">
        <v>1135.1500799999999</v>
      </c>
      <c r="P1126" s="28">
        <v>864.84992</v>
      </c>
    </row>
    <row r="1127" spans="1:16" x14ac:dyDescent="0.25">
      <c r="A1127" s="40">
        <v>4</v>
      </c>
      <c r="B1127" s="40">
        <v>117</v>
      </c>
      <c r="C1127" s="28">
        <v>13.5806629</v>
      </c>
      <c r="D1127" s="28">
        <v>7.2098751700000001</v>
      </c>
      <c r="E1127" s="28">
        <v>26.332543699999999</v>
      </c>
      <c r="F1127" s="28">
        <v>25.799220699999999</v>
      </c>
      <c r="G1127" s="28">
        <v>23.019856399999998</v>
      </c>
      <c r="H1127" s="28">
        <v>70.000575100000006</v>
      </c>
      <c r="I1127" s="28">
        <v>62.733305999999999</v>
      </c>
      <c r="J1127" s="28">
        <v>980.564888</v>
      </c>
      <c r="K1127" s="28">
        <v>879.55428300000005</v>
      </c>
      <c r="L1127" s="28">
        <v>6.3316940800000001</v>
      </c>
      <c r="M1127" s="28">
        <v>121.559432</v>
      </c>
      <c r="N1127" s="28">
        <v>76.7959295</v>
      </c>
      <c r="O1127" s="28">
        <v>1119.2914599999999</v>
      </c>
      <c r="P1127" s="28">
        <v>880.70854099999997</v>
      </c>
    </row>
    <row r="1128" spans="1:16" x14ac:dyDescent="0.25">
      <c r="A1128" s="40">
        <v>4</v>
      </c>
      <c r="B1128" s="40">
        <v>118</v>
      </c>
      <c r="C1128" s="28">
        <v>13.5959254</v>
      </c>
      <c r="D1128" s="28">
        <v>7.1862361400000001</v>
      </c>
      <c r="E1128" s="28">
        <v>26.383584599999999</v>
      </c>
      <c r="F1128" s="28">
        <v>25.650400900000001</v>
      </c>
      <c r="G1128" s="28">
        <v>22.796178000000001</v>
      </c>
      <c r="H1128" s="28">
        <v>71.112309100000004</v>
      </c>
      <c r="I1128" s="28">
        <v>63.474271000000002</v>
      </c>
      <c r="J1128" s="28">
        <v>979.11457900000005</v>
      </c>
      <c r="K1128" s="28">
        <v>877.35647300000005</v>
      </c>
      <c r="L1128" s="28">
        <v>6.4738518899999997</v>
      </c>
      <c r="M1128" s="28">
        <v>121.556468</v>
      </c>
      <c r="N1128" s="28">
        <v>77.582297400000002</v>
      </c>
      <c r="O1128" s="28">
        <v>1144.42154</v>
      </c>
      <c r="P1128" s="28">
        <v>855.57845499999996</v>
      </c>
    </row>
    <row r="1129" spans="1:16" x14ac:dyDescent="0.25">
      <c r="A1129" s="40">
        <v>4</v>
      </c>
      <c r="B1129" s="40">
        <v>119</v>
      </c>
      <c r="C1129" s="28">
        <v>13.532207</v>
      </c>
      <c r="D1129" s="28">
        <v>7.1519836899999998</v>
      </c>
      <c r="E1129" s="28">
        <v>26.7734299</v>
      </c>
      <c r="F1129" s="28">
        <v>25.7688664</v>
      </c>
      <c r="G1129" s="28">
        <v>22.945310899999999</v>
      </c>
      <c r="H1129" s="28">
        <v>71.249054799999996</v>
      </c>
      <c r="I1129" s="28">
        <v>63.730435200000002</v>
      </c>
      <c r="J1129" s="28">
        <v>980.26718300000005</v>
      </c>
      <c r="K1129" s="28">
        <v>877.428764</v>
      </c>
      <c r="L1129" s="28">
        <v>6.4502315399999999</v>
      </c>
      <c r="M1129" s="28">
        <v>122.193918</v>
      </c>
      <c r="N1129" s="28">
        <v>77.365554200000005</v>
      </c>
      <c r="O1129" s="28">
        <v>1140.24604</v>
      </c>
      <c r="P1129" s="28">
        <v>859.75396499999999</v>
      </c>
    </row>
    <row r="1130" spans="1:16" x14ac:dyDescent="0.25">
      <c r="A1130" s="40">
        <v>4</v>
      </c>
      <c r="B1130" s="40">
        <v>120</v>
      </c>
      <c r="C1130" s="28">
        <v>13.572747700000001</v>
      </c>
      <c r="D1130" s="28">
        <v>7.1570723899999997</v>
      </c>
      <c r="E1130" s="28">
        <v>26.526067600000001</v>
      </c>
      <c r="F1130" s="28">
        <v>25.513969400000001</v>
      </c>
      <c r="G1130" s="28">
        <v>22.762920099999999</v>
      </c>
      <c r="H1130" s="28">
        <v>70.752067600000004</v>
      </c>
      <c r="I1130" s="28">
        <v>63.067410899999999</v>
      </c>
      <c r="J1130" s="28">
        <v>979.13715000000002</v>
      </c>
      <c r="K1130" s="28">
        <v>874.82423100000005</v>
      </c>
      <c r="L1130" s="28">
        <v>6.4217117699999999</v>
      </c>
      <c r="M1130" s="28">
        <v>121.37318999999999</v>
      </c>
      <c r="N1130" s="28">
        <v>77.392186300000006</v>
      </c>
      <c r="O1130" s="28">
        <v>1135.20442</v>
      </c>
      <c r="P1130" s="28">
        <v>864.79557599999998</v>
      </c>
    </row>
    <row r="1131" spans="1:16" x14ac:dyDescent="0.25">
      <c r="A1131" s="40">
        <v>4</v>
      </c>
      <c r="B1131" s="40">
        <v>121</v>
      </c>
      <c r="C1131" s="28">
        <v>13.3874719</v>
      </c>
      <c r="D1131" s="28">
        <v>7.1034757099999997</v>
      </c>
      <c r="E1131" s="28">
        <v>26.5009458</v>
      </c>
      <c r="F1131" s="28">
        <v>25.6206171</v>
      </c>
      <c r="G1131" s="28">
        <v>22.612380000000002</v>
      </c>
      <c r="H1131" s="28">
        <v>70.691838200000007</v>
      </c>
      <c r="I1131" s="28">
        <v>62.985886200000003</v>
      </c>
      <c r="J1131" s="28">
        <v>980.02794700000004</v>
      </c>
      <c r="K1131" s="28">
        <v>869.97163499999999</v>
      </c>
      <c r="L1131" s="28">
        <v>6.4611179700000001</v>
      </c>
      <c r="M1131" s="28">
        <v>120.496573</v>
      </c>
      <c r="N1131" s="28">
        <v>77.073316199999994</v>
      </c>
      <c r="O1131" s="28">
        <v>1142.17049</v>
      </c>
      <c r="P1131" s="28">
        <v>857.82950500000004</v>
      </c>
    </row>
    <row r="1132" spans="1:16" x14ac:dyDescent="0.25">
      <c r="A1132" s="40">
        <v>4</v>
      </c>
      <c r="B1132" s="40">
        <v>122</v>
      </c>
      <c r="C1132" s="28">
        <v>13.3393329</v>
      </c>
      <c r="D1132" s="28">
        <v>7.0075543900000001</v>
      </c>
      <c r="E1132" s="28">
        <v>26.194527600000001</v>
      </c>
      <c r="F1132" s="28">
        <v>25.4092564</v>
      </c>
      <c r="G1132" s="28">
        <v>22.604637799999999</v>
      </c>
      <c r="H1132" s="28">
        <v>70.046229400000001</v>
      </c>
      <c r="I1132" s="28">
        <v>61.244524200000001</v>
      </c>
      <c r="J1132" s="28">
        <v>978.50902900000006</v>
      </c>
      <c r="K1132" s="28">
        <v>866.92998299999999</v>
      </c>
      <c r="L1132" s="28">
        <v>6.3500469800000001</v>
      </c>
      <c r="M1132" s="28">
        <v>119.352429</v>
      </c>
      <c r="N1132" s="28">
        <v>77.623033000000007</v>
      </c>
      <c r="O1132" s="28">
        <v>1122.5358100000001</v>
      </c>
      <c r="P1132" s="28">
        <v>877.46418900000003</v>
      </c>
    </row>
    <row r="1133" spans="1:16" x14ac:dyDescent="0.25">
      <c r="A1133" s="40">
        <v>4</v>
      </c>
      <c r="B1133" s="40">
        <v>123</v>
      </c>
      <c r="C1133" s="28">
        <v>13.386255500000001</v>
      </c>
      <c r="D1133" s="28">
        <v>7.0574087800000003</v>
      </c>
      <c r="E1133" s="28">
        <v>26.3652166</v>
      </c>
      <c r="F1133" s="28">
        <v>25.443538700000001</v>
      </c>
      <c r="G1133" s="28">
        <v>22.643843</v>
      </c>
      <c r="H1133" s="28">
        <v>69.965245300000007</v>
      </c>
      <c r="I1133" s="28">
        <v>62.3505872</v>
      </c>
      <c r="J1133" s="28">
        <v>980.18059300000004</v>
      </c>
      <c r="K1133" s="28">
        <v>876.19522199999994</v>
      </c>
      <c r="L1133" s="28">
        <v>6.2672879300000002</v>
      </c>
      <c r="M1133" s="28">
        <v>120.07275</v>
      </c>
      <c r="N1133" s="28">
        <v>77.837965999999994</v>
      </c>
      <c r="O1133" s="28">
        <v>1107.9059999999999</v>
      </c>
      <c r="P1133" s="28">
        <v>892.09400300000004</v>
      </c>
    </row>
    <row r="1134" spans="1:16" x14ac:dyDescent="0.25">
      <c r="A1134" s="40">
        <v>4</v>
      </c>
      <c r="B1134" s="40">
        <v>124</v>
      </c>
      <c r="C1134" s="28">
        <v>13.343704000000001</v>
      </c>
      <c r="D1134" s="28">
        <v>6.98490009</v>
      </c>
      <c r="E1134" s="28">
        <v>26.4681912</v>
      </c>
      <c r="F1134" s="28">
        <v>25.541951699999998</v>
      </c>
      <c r="G1134" s="28">
        <v>22.951519099999999</v>
      </c>
      <c r="H1134" s="28">
        <v>69.466496100000001</v>
      </c>
      <c r="I1134" s="28">
        <v>62.130589999999998</v>
      </c>
      <c r="J1134" s="28">
        <v>977.37040999999999</v>
      </c>
      <c r="K1134" s="28">
        <v>873.80354299999999</v>
      </c>
      <c r="L1134" s="28">
        <v>6.20286297</v>
      </c>
      <c r="M1134" s="28">
        <v>120.210042</v>
      </c>
      <c r="N1134" s="28">
        <v>77.594708699999998</v>
      </c>
      <c r="O1134" s="28">
        <v>1096.51721</v>
      </c>
      <c r="P1134" s="28">
        <v>903.48278800000003</v>
      </c>
    </row>
    <row r="1135" spans="1:16" x14ac:dyDescent="0.25">
      <c r="A1135" s="40">
        <v>4</v>
      </c>
      <c r="B1135" s="40">
        <v>125</v>
      </c>
      <c r="C1135" s="28">
        <v>13.416504700000001</v>
      </c>
      <c r="D1135" s="28">
        <v>7.05602163</v>
      </c>
      <c r="E1135" s="28">
        <v>26.5352821</v>
      </c>
      <c r="F1135" s="28">
        <v>25.722059999999999</v>
      </c>
      <c r="G1135" s="28">
        <v>22.8469196</v>
      </c>
      <c r="H1135" s="28">
        <v>70.086677899999998</v>
      </c>
      <c r="I1135" s="28">
        <v>63.027468800000001</v>
      </c>
      <c r="J1135" s="28">
        <v>979.33279200000004</v>
      </c>
      <c r="K1135" s="28">
        <v>873.28141400000004</v>
      </c>
      <c r="L1135" s="28">
        <v>6.3218108300000004</v>
      </c>
      <c r="M1135" s="28">
        <v>120.966133</v>
      </c>
      <c r="N1135" s="28">
        <v>78.183924200000007</v>
      </c>
      <c r="O1135" s="28">
        <v>1117.5443399999999</v>
      </c>
      <c r="P1135" s="28">
        <v>882.45566299999996</v>
      </c>
    </row>
    <row r="1136" spans="1:16" x14ac:dyDescent="0.25">
      <c r="A1136" s="40">
        <v>4</v>
      </c>
      <c r="B1136" s="40">
        <v>126</v>
      </c>
      <c r="C1136" s="28">
        <v>13.4886313</v>
      </c>
      <c r="D1136" s="28">
        <v>7.0673882800000003</v>
      </c>
      <c r="E1136" s="28">
        <v>26.484112100000001</v>
      </c>
      <c r="F1136" s="28">
        <v>25.877382000000001</v>
      </c>
      <c r="G1136" s="28">
        <v>22.865768899999999</v>
      </c>
      <c r="H1136" s="28">
        <v>70.051145700000006</v>
      </c>
      <c r="I1136" s="28">
        <v>61.510618399999998</v>
      </c>
      <c r="J1136" s="28">
        <v>977.84506199999998</v>
      </c>
      <c r="K1136" s="28">
        <v>875.61957800000005</v>
      </c>
      <c r="L1136" s="28">
        <v>6.3203171500000002</v>
      </c>
      <c r="M1136" s="28">
        <v>120.867113</v>
      </c>
      <c r="N1136" s="28">
        <v>78.762503699999996</v>
      </c>
      <c r="O1136" s="28">
        <v>1117.2802899999999</v>
      </c>
      <c r="P1136" s="28">
        <v>882.71970899999997</v>
      </c>
    </row>
    <row r="1137" spans="1:16" x14ac:dyDescent="0.25">
      <c r="A1137" s="40">
        <v>4</v>
      </c>
      <c r="B1137" s="40">
        <v>127</v>
      </c>
      <c r="C1137" s="28">
        <v>13.5964551</v>
      </c>
      <c r="D1137" s="28">
        <v>7.0126953500000004</v>
      </c>
      <c r="E1137" s="28">
        <v>26.174432299999999</v>
      </c>
      <c r="F1137" s="28">
        <v>25.741298199999999</v>
      </c>
      <c r="G1137" s="28">
        <v>23.209555900000002</v>
      </c>
      <c r="H1137" s="28">
        <v>70.101761699999997</v>
      </c>
      <c r="I1137" s="28">
        <v>61.711321300000002</v>
      </c>
      <c r="J1137" s="28">
        <v>980.25530100000003</v>
      </c>
      <c r="K1137" s="28">
        <v>875.77555199999995</v>
      </c>
      <c r="L1137" s="28">
        <v>6.4314580599999998</v>
      </c>
      <c r="M1137" s="28">
        <v>120.83183099999999</v>
      </c>
      <c r="N1137" s="28">
        <v>79.234547500000005</v>
      </c>
      <c r="O1137" s="28">
        <v>1136.92733</v>
      </c>
      <c r="P1137" s="28">
        <v>863.07266500000003</v>
      </c>
    </row>
    <row r="1138" spans="1:16" x14ac:dyDescent="0.25">
      <c r="A1138" s="40">
        <v>4</v>
      </c>
      <c r="B1138" s="40">
        <v>128</v>
      </c>
      <c r="C1138" s="28">
        <v>13.7531832</v>
      </c>
      <c r="D1138" s="28">
        <v>6.9648102600000001</v>
      </c>
      <c r="E1138" s="28">
        <v>26.462758300000001</v>
      </c>
      <c r="F1138" s="28">
        <v>25.823536600000001</v>
      </c>
      <c r="G1138" s="28">
        <v>23.373086799999999</v>
      </c>
      <c r="H1138" s="28">
        <v>70.2400126</v>
      </c>
      <c r="I1138" s="28">
        <v>61.838493700000001</v>
      </c>
      <c r="J1138" s="28">
        <v>978.882655</v>
      </c>
      <c r="K1138" s="28">
        <v>878.82991400000003</v>
      </c>
      <c r="L1138" s="28">
        <v>6.4035688200000003</v>
      </c>
      <c r="M1138" s="28">
        <v>121.083867</v>
      </c>
      <c r="N1138" s="28">
        <v>80.785083</v>
      </c>
      <c r="O1138" s="28">
        <v>1131.99719</v>
      </c>
      <c r="P1138" s="28">
        <v>868.00281399999994</v>
      </c>
    </row>
    <row r="1139" spans="1:16" x14ac:dyDescent="0.25">
      <c r="A1139" s="40">
        <v>4</v>
      </c>
      <c r="B1139" s="40">
        <v>129</v>
      </c>
      <c r="C1139" s="28">
        <v>13.806017000000001</v>
      </c>
      <c r="D1139" s="28">
        <v>6.9068912500000001</v>
      </c>
      <c r="E1139" s="28">
        <v>26.3495539</v>
      </c>
      <c r="F1139" s="28">
        <v>25.8946635</v>
      </c>
      <c r="G1139" s="28">
        <v>23.5251056</v>
      </c>
      <c r="H1139" s="28">
        <v>70.562778300000005</v>
      </c>
      <c r="I1139" s="28">
        <v>62.021255199999999</v>
      </c>
      <c r="J1139" s="28">
        <v>980.84306100000003</v>
      </c>
      <c r="K1139" s="28">
        <v>881.65979200000004</v>
      </c>
      <c r="L1139" s="28">
        <v>6.4078782900000002</v>
      </c>
      <c r="M1139" s="28">
        <v>121.053702</v>
      </c>
      <c r="N1139" s="28">
        <v>81.767197400000001</v>
      </c>
      <c r="O1139" s="28">
        <v>1132.759</v>
      </c>
      <c r="P1139" s="28">
        <v>867.24100299999998</v>
      </c>
    </row>
    <row r="1140" spans="1:16" x14ac:dyDescent="0.25">
      <c r="A1140" s="40">
        <v>4</v>
      </c>
      <c r="B1140" s="40">
        <v>130</v>
      </c>
      <c r="C1140" s="28">
        <v>13.7936172</v>
      </c>
      <c r="D1140" s="28">
        <v>6.937189</v>
      </c>
      <c r="E1140" s="28">
        <v>26.511742699999999</v>
      </c>
      <c r="F1140" s="28">
        <v>25.853025500000001</v>
      </c>
      <c r="G1140" s="28">
        <v>23.5810605</v>
      </c>
      <c r="H1140" s="28">
        <v>70.695810100000003</v>
      </c>
      <c r="I1140" s="28">
        <v>62.484173400000003</v>
      </c>
      <c r="J1140" s="28">
        <v>978.79676600000005</v>
      </c>
      <c r="K1140" s="28">
        <v>879.42591700000003</v>
      </c>
      <c r="L1140" s="28">
        <v>6.47297075</v>
      </c>
      <c r="M1140" s="28">
        <v>121.833776</v>
      </c>
      <c r="N1140" s="28">
        <v>83.2909449</v>
      </c>
      <c r="O1140" s="28">
        <v>1144.2657799999999</v>
      </c>
      <c r="P1140" s="28">
        <v>855.73422000000005</v>
      </c>
    </row>
    <row r="1141" spans="1:16" x14ac:dyDescent="0.25">
      <c r="A1141" s="40">
        <v>4</v>
      </c>
      <c r="B1141" s="40">
        <v>131</v>
      </c>
      <c r="C1141" s="28">
        <v>13.8876417</v>
      </c>
      <c r="D1141" s="28">
        <v>6.9332900999999998</v>
      </c>
      <c r="E1141" s="28">
        <v>26.708536299999999</v>
      </c>
      <c r="F1141" s="28">
        <v>25.996069899999998</v>
      </c>
      <c r="G1141" s="28">
        <v>23.6910533</v>
      </c>
      <c r="H1141" s="28">
        <v>70.746483499999997</v>
      </c>
      <c r="I1141" s="28">
        <v>61.736028900000001</v>
      </c>
      <c r="J1141" s="28">
        <v>980.91246599999999</v>
      </c>
      <c r="K1141" s="28">
        <v>875.93303200000003</v>
      </c>
      <c r="L1141" s="28">
        <v>6.3715694799999998</v>
      </c>
      <c r="M1141" s="28">
        <v>122.211073</v>
      </c>
      <c r="N1141" s="28">
        <v>82.653583499999996</v>
      </c>
      <c r="O1141" s="28">
        <v>1126.3404700000001</v>
      </c>
      <c r="P1141" s="28">
        <v>873.65952900000002</v>
      </c>
    </row>
    <row r="1142" spans="1:16" x14ac:dyDescent="0.25">
      <c r="A1142" s="40">
        <v>4</v>
      </c>
      <c r="B1142" s="40">
        <v>132</v>
      </c>
      <c r="C1142" s="28">
        <v>13.9011219</v>
      </c>
      <c r="D1142" s="28">
        <v>6.9326237500000003</v>
      </c>
      <c r="E1142" s="28">
        <v>26.661274599999999</v>
      </c>
      <c r="F1142" s="28">
        <v>25.8392965</v>
      </c>
      <c r="G1142" s="28">
        <v>23.613589399999999</v>
      </c>
      <c r="H1142" s="28">
        <v>71.278483699999995</v>
      </c>
      <c r="I1142" s="28">
        <v>61.492754300000001</v>
      </c>
      <c r="J1142" s="28">
        <v>979.75072299999999</v>
      </c>
      <c r="K1142" s="28">
        <v>874.25416499999994</v>
      </c>
      <c r="L1142" s="28">
        <v>6.3333981100000001</v>
      </c>
      <c r="M1142" s="28">
        <v>121.95379</v>
      </c>
      <c r="N1142" s="28">
        <v>82.119444999999999</v>
      </c>
      <c r="O1142" s="28">
        <v>1119.5926899999999</v>
      </c>
      <c r="P1142" s="28">
        <v>880.40731000000005</v>
      </c>
    </row>
    <row r="1143" spans="1:16" x14ac:dyDescent="0.25">
      <c r="A1143" s="40">
        <v>4</v>
      </c>
      <c r="B1143" s="40">
        <v>133</v>
      </c>
      <c r="C1143" s="28">
        <v>13.941952199999999</v>
      </c>
      <c r="D1143" s="28">
        <v>6.9045395599999999</v>
      </c>
      <c r="E1143" s="28">
        <v>26.7212554</v>
      </c>
      <c r="F1143" s="28">
        <v>25.687799200000001</v>
      </c>
      <c r="G1143" s="28">
        <v>23.7984577</v>
      </c>
      <c r="H1143" s="28">
        <v>71.871143500000002</v>
      </c>
      <c r="I1143" s="28">
        <v>60.326689100000003</v>
      </c>
      <c r="J1143" s="28">
        <v>982.14345800000001</v>
      </c>
      <c r="K1143" s="28">
        <v>877.222757</v>
      </c>
      <c r="L1143" s="28">
        <v>6.2670956699999998</v>
      </c>
      <c r="M1143" s="28">
        <v>121.90401799999999</v>
      </c>
      <c r="N1143" s="28">
        <v>82.099542400000004</v>
      </c>
      <c r="O1143" s="28">
        <v>1107.87201</v>
      </c>
      <c r="P1143" s="28">
        <v>892.12798999999995</v>
      </c>
    </row>
    <row r="1144" spans="1:16" x14ac:dyDescent="0.25">
      <c r="A1144" s="40">
        <v>4</v>
      </c>
      <c r="B1144" s="40">
        <v>134</v>
      </c>
      <c r="C1144" s="28">
        <v>14.0219594</v>
      </c>
      <c r="D1144" s="28">
        <v>6.9361909199999996</v>
      </c>
      <c r="E1144" s="28">
        <v>26.794374399999999</v>
      </c>
      <c r="F1144" s="28">
        <v>25.7818191</v>
      </c>
      <c r="G1144" s="28">
        <v>23.792168799999999</v>
      </c>
      <c r="H1144" s="28">
        <v>71.961043599999996</v>
      </c>
      <c r="I1144" s="28">
        <v>59.831989200000002</v>
      </c>
      <c r="J1144" s="28">
        <v>980.81868399999996</v>
      </c>
      <c r="K1144" s="28">
        <v>870.130538</v>
      </c>
      <c r="L1144" s="28">
        <v>6.2505882599999998</v>
      </c>
      <c r="M1144" s="28">
        <v>122.219587</v>
      </c>
      <c r="N1144" s="28">
        <v>80.287608000000006</v>
      </c>
      <c r="O1144" s="28">
        <v>1104.9539</v>
      </c>
      <c r="P1144" s="28">
        <v>895.04610300000002</v>
      </c>
    </row>
    <row r="1145" spans="1:16" x14ac:dyDescent="0.25">
      <c r="A1145" s="40">
        <v>4</v>
      </c>
      <c r="B1145" s="40">
        <v>135</v>
      </c>
      <c r="C1145" s="28">
        <v>14.0543797</v>
      </c>
      <c r="D1145" s="28">
        <v>7.0078624300000003</v>
      </c>
      <c r="E1145" s="28">
        <v>26.900980000000001</v>
      </c>
      <c r="F1145" s="28">
        <v>26.032572999999999</v>
      </c>
      <c r="G1145" s="28">
        <v>24.034526400000001</v>
      </c>
      <c r="H1145" s="28">
        <v>73.972557100000003</v>
      </c>
      <c r="I1145" s="28">
        <v>60.924295700000002</v>
      </c>
      <c r="J1145" s="28">
        <v>982.11222499999997</v>
      </c>
      <c r="K1145" s="28">
        <v>873.62316399999997</v>
      </c>
      <c r="L1145" s="28">
        <v>6.3021887899999998</v>
      </c>
      <c r="M1145" s="28">
        <v>123.627308</v>
      </c>
      <c r="N1145" s="28">
        <v>81.414055899999994</v>
      </c>
      <c r="O1145" s="28">
        <v>1114.07563</v>
      </c>
      <c r="P1145" s="28">
        <v>885.92436799999996</v>
      </c>
    </row>
    <row r="1146" spans="1:16" x14ac:dyDescent="0.25">
      <c r="A1146" s="40">
        <v>4</v>
      </c>
      <c r="B1146" s="40">
        <v>136</v>
      </c>
      <c r="C1146" s="28">
        <v>14.128925300000001</v>
      </c>
      <c r="D1146" s="28">
        <v>7.0030716799999997</v>
      </c>
      <c r="E1146" s="28">
        <v>27.103686700000001</v>
      </c>
      <c r="F1146" s="28">
        <v>26.587665099999999</v>
      </c>
      <c r="G1146" s="28">
        <v>24.507217499999999</v>
      </c>
      <c r="H1146" s="28">
        <v>74.264994200000004</v>
      </c>
      <c r="I1146" s="28">
        <v>61.911266699999999</v>
      </c>
      <c r="J1146" s="28">
        <v>979.16157399999997</v>
      </c>
      <c r="K1146" s="28">
        <v>873.666876</v>
      </c>
      <c r="L1146" s="28">
        <v>6.3041086200000001</v>
      </c>
      <c r="M1146" s="28">
        <v>124.57708599999999</v>
      </c>
      <c r="N1146" s="28">
        <v>80.412660700000004</v>
      </c>
      <c r="O1146" s="28">
        <v>1114.4150099999999</v>
      </c>
      <c r="P1146" s="28">
        <v>885.58498899999995</v>
      </c>
    </row>
    <row r="1147" spans="1:16" x14ac:dyDescent="0.25">
      <c r="A1147" s="40">
        <v>4</v>
      </c>
      <c r="B1147" s="40">
        <v>137</v>
      </c>
      <c r="C1147" s="28">
        <v>14.0804673</v>
      </c>
      <c r="D1147" s="28">
        <v>6.9268925799999996</v>
      </c>
      <c r="E1147" s="28">
        <v>27.130889199999999</v>
      </c>
      <c r="F1147" s="28">
        <v>26.602512399999998</v>
      </c>
      <c r="G1147" s="28">
        <v>24.6581206</v>
      </c>
      <c r="H1147" s="28">
        <v>73.294632399999998</v>
      </c>
      <c r="I1147" s="28">
        <v>61.5336596</v>
      </c>
      <c r="J1147" s="28">
        <v>980.25665900000001</v>
      </c>
      <c r="K1147" s="28">
        <v>881.92113900000004</v>
      </c>
      <c r="L1147" s="28">
        <v>6.2563966200000003</v>
      </c>
      <c r="M1147" s="28">
        <v>123.85405799999999</v>
      </c>
      <c r="N1147" s="28">
        <v>79.514199599999998</v>
      </c>
      <c r="O1147" s="28">
        <v>1105.9806799999999</v>
      </c>
      <c r="P1147" s="28">
        <v>894.01932399999998</v>
      </c>
    </row>
    <row r="1148" spans="1:16" x14ac:dyDescent="0.25">
      <c r="A1148" s="40">
        <v>4</v>
      </c>
      <c r="B1148" s="40">
        <v>138</v>
      </c>
      <c r="C1148" s="28">
        <v>14.107196</v>
      </c>
      <c r="D1148" s="28">
        <v>6.90747775</v>
      </c>
      <c r="E1148" s="28">
        <v>27.4300833</v>
      </c>
      <c r="F1148" s="28">
        <v>26.608967100000001</v>
      </c>
      <c r="G1148" s="28">
        <v>24.925895400000002</v>
      </c>
      <c r="H1148" s="28">
        <v>73.261910999999998</v>
      </c>
      <c r="I1148" s="28">
        <v>62.121000600000002</v>
      </c>
      <c r="J1148" s="28">
        <v>978.18878500000005</v>
      </c>
      <c r="K1148" s="28">
        <v>878.62987099999998</v>
      </c>
      <c r="L1148" s="28">
        <v>6.2644752600000002</v>
      </c>
      <c r="M1148" s="28">
        <v>124.574675</v>
      </c>
      <c r="N1148" s="28">
        <v>79.311969000000005</v>
      </c>
      <c r="O1148" s="28">
        <v>1107.40879</v>
      </c>
      <c r="P1148" s="28">
        <v>892.59121500000003</v>
      </c>
    </row>
    <row r="1149" spans="1:16" x14ac:dyDescent="0.25">
      <c r="A1149" s="40">
        <v>4</v>
      </c>
      <c r="B1149" s="40">
        <v>139</v>
      </c>
      <c r="C1149" s="28">
        <v>14.1971855</v>
      </c>
      <c r="D1149" s="28">
        <v>6.8961215600000001</v>
      </c>
      <c r="E1149" s="28">
        <v>27.108502699999999</v>
      </c>
      <c r="F1149" s="28">
        <v>26.509715100000001</v>
      </c>
      <c r="G1149" s="28">
        <v>24.6295863</v>
      </c>
      <c r="H1149" s="28">
        <v>73.6771782</v>
      </c>
      <c r="I1149" s="28">
        <v>61.900369699999999</v>
      </c>
      <c r="J1149" s="28">
        <v>981.05749400000002</v>
      </c>
      <c r="K1149" s="28">
        <v>876.34127899999999</v>
      </c>
      <c r="L1149" s="28">
        <v>6.1651402500000003</v>
      </c>
      <c r="M1149" s="28">
        <v>124.637739</v>
      </c>
      <c r="N1149" s="28">
        <v>77.0466598</v>
      </c>
      <c r="O1149" s="28">
        <v>1089.8487399999999</v>
      </c>
      <c r="P1149" s="28">
        <v>910.15125899999998</v>
      </c>
    </row>
    <row r="1150" spans="1:16" x14ac:dyDescent="0.25">
      <c r="A1150" s="40">
        <v>4</v>
      </c>
      <c r="B1150" s="40">
        <v>140</v>
      </c>
      <c r="C1150" s="28">
        <v>14.4006025</v>
      </c>
      <c r="D1150" s="28">
        <v>6.8695518099999999</v>
      </c>
      <c r="E1150" s="28">
        <v>26.923510700000001</v>
      </c>
      <c r="F1150" s="28">
        <v>26.340321200000002</v>
      </c>
      <c r="G1150" s="28">
        <v>24.810920100000001</v>
      </c>
      <c r="H1150" s="28">
        <v>73.516597000000004</v>
      </c>
      <c r="I1150" s="28">
        <v>62.2654827</v>
      </c>
      <c r="J1150" s="28">
        <v>980.64838699999996</v>
      </c>
      <c r="K1150" s="28">
        <v>873.253332</v>
      </c>
      <c r="L1150" s="28">
        <v>6.1511378700000003</v>
      </c>
      <c r="M1150" s="28">
        <v>124.833491</v>
      </c>
      <c r="N1150" s="28">
        <v>75.377864700000003</v>
      </c>
      <c r="O1150" s="28">
        <v>1087.37346</v>
      </c>
      <c r="P1150" s="28">
        <v>912.62654299999997</v>
      </c>
    </row>
    <row r="1151" spans="1:16" x14ac:dyDescent="0.25">
      <c r="A1151" s="40">
        <v>4</v>
      </c>
      <c r="B1151" s="40">
        <v>141</v>
      </c>
      <c r="C1151" s="28">
        <v>14.286712100000001</v>
      </c>
      <c r="D1151" s="28">
        <v>6.8312996400000001</v>
      </c>
      <c r="E1151" s="28">
        <v>26.882507400000001</v>
      </c>
      <c r="F1151" s="28">
        <v>26.1146092</v>
      </c>
      <c r="G1151" s="28">
        <v>24.802590899999998</v>
      </c>
      <c r="H1151" s="28">
        <v>73.562515899999994</v>
      </c>
      <c r="I1151" s="28">
        <v>62.364957099999998</v>
      </c>
      <c r="J1151" s="28">
        <v>981.98917200000005</v>
      </c>
      <c r="K1151" s="28">
        <v>867.05687699999999</v>
      </c>
      <c r="L1151" s="28">
        <v>6.0822068099999997</v>
      </c>
      <c r="M1151" s="28">
        <v>124.74397500000001</v>
      </c>
      <c r="N1151" s="28">
        <v>73.623795099999995</v>
      </c>
      <c r="O1151" s="28">
        <v>1075.1881000000001</v>
      </c>
      <c r="P1151" s="28">
        <v>924.81190000000004</v>
      </c>
    </row>
    <row r="1152" spans="1:16" x14ac:dyDescent="0.25">
      <c r="A1152" s="40">
        <v>4</v>
      </c>
      <c r="B1152" s="40">
        <v>142</v>
      </c>
      <c r="C1152" s="28">
        <v>14.2890978</v>
      </c>
      <c r="D1152" s="28">
        <v>6.7593171600000002</v>
      </c>
      <c r="E1152" s="28">
        <v>26.801301200000001</v>
      </c>
      <c r="F1152" s="28">
        <v>25.8937481</v>
      </c>
      <c r="G1152" s="28">
        <v>24.696973700000001</v>
      </c>
      <c r="H1152" s="28">
        <v>74.746706799999998</v>
      </c>
      <c r="I1152" s="28">
        <v>62.807396900000001</v>
      </c>
      <c r="J1152" s="28">
        <v>981.15629999999999</v>
      </c>
      <c r="K1152" s="28">
        <v>869.22840299999996</v>
      </c>
      <c r="L1152" s="28">
        <v>5.98406913</v>
      </c>
      <c r="M1152" s="28">
        <v>124.27444800000001</v>
      </c>
      <c r="N1152" s="28">
        <v>73.087939399999996</v>
      </c>
      <c r="O1152" s="28">
        <v>1057.8397199999999</v>
      </c>
      <c r="P1152" s="28">
        <v>942.16028500000004</v>
      </c>
    </row>
    <row r="1153" spans="1:16" x14ac:dyDescent="0.25">
      <c r="A1153" s="40">
        <v>4</v>
      </c>
      <c r="B1153" s="40">
        <v>143</v>
      </c>
      <c r="C1153" s="28">
        <v>14.2929054</v>
      </c>
      <c r="D1153" s="28">
        <v>6.7639338799999997</v>
      </c>
      <c r="E1153" s="28">
        <v>26.8459428</v>
      </c>
      <c r="F1153" s="28">
        <v>25.669153600000001</v>
      </c>
      <c r="G1153" s="28">
        <v>24.579577199999999</v>
      </c>
      <c r="H1153" s="28">
        <v>74.345125400000001</v>
      </c>
      <c r="I1153" s="28">
        <v>63.308453</v>
      </c>
      <c r="J1153" s="28">
        <v>983.00097600000004</v>
      </c>
      <c r="K1153" s="28">
        <v>869.38547700000004</v>
      </c>
      <c r="L1153" s="28">
        <v>6.0115563099999996</v>
      </c>
      <c r="M1153" s="28">
        <v>124.27637300000001</v>
      </c>
      <c r="N1153" s="28">
        <v>73.546947500000002</v>
      </c>
      <c r="O1153" s="28">
        <v>1062.6987899999999</v>
      </c>
      <c r="P1153" s="28">
        <v>937.30121099999997</v>
      </c>
    </row>
    <row r="1154" spans="1:16" x14ac:dyDescent="0.25">
      <c r="A1154" s="40">
        <v>4</v>
      </c>
      <c r="B1154" s="40">
        <v>144</v>
      </c>
      <c r="C1154" s="28">
        <v>14.328666999999999</v>
      </c>
      <c r="D1154" s="28">
        <v>6.7174474100000001</v>
      </c>
      <c r="E1154" s="28">
        <v>27.032809400000001</v>
      </c>
      <c r="F1154" s="28">
        <v>25.527092199999998</v>
      </c>
      <c r="G1154" s="28">
        <v>24.3380747</v>
      </c>
      <c r="H1154" s="28">
        <v>74.363738400000003</v>
      </c>
      <c r="I1154" s="28">
        <v>62.985285900000001</v>
      </c>
      <c r="J1154" s="28">
        <v>982.207132</v>
      </c>
      <c r="K1154" s="28">
        <v>867.88582199999996</v>
      </c>
      <c r="L1154" s="28">
        <v>5.9396530299999997</v>
      </c>
      <c r="M1154" s="28">
        <v>124.100632</v>
      </c>
      <c r="N1154" s="28">
        <v>72.739611400000001</v>
      </c>
      <c r="O1154" s="28">
        <v>1049.98802</v>
      </c>
      <c r="P1154" s="28">
        <v>950.01198399999998</v>
      </c>
    </row>
    <row r="1155" spans="1:16" x14ac:dyDescent="0.25">
      <c r="A1155" s="40">
        <v>4</v>
      </c>
      <c r="B1155" s="40">
        <v>145</v>
      </c>
      <c r="C1155" s="28">
        <v>14.315269199999999</v>
      </c>
      <c r="D1155" s="28">
        <v>6.7289677699999997</v>
      </c>
      <c r="E1155" s="28">
        <v>26.9380326</v>
      </c>
      <c r="F1155" s="28">
        <v>25.1709581</v>
      </c>
      <c r="G1155" s="28">
        <v>24.279482600000001</v>
      </c>
      <c r="H1155" s="28">
        <v>73.761736900000002</v>
      </c>
      <c r="I1155" s="28">
        <v>62.074498599999998</v>
      </c>
      <c r="J1155" s="28">
        <v>984.34616400000004</v>
      </c>
      <c r="K1155" s="28">
        <v>868.56175599999995</v>
      </c>
      <c r="L1155" s="28">
        <v>5.9478898200000003</v>
      </c>
      <c r="M1155" s="28">
        <v>123.324647</v>
      </c>
      <c r="N1155" s="28">
        <v>72.003621300000006</v>
      </c>
      <c r="O1155" s="28">
        <v>1051.44408</v>
      </c>
      <c r="P1155" s="28">
        <v>948.55591800000002</v>
      </c>
    </row>
    <row r="1156" spans="1:16" x14ac:dyDescent="0.25">
      <c r="A1156" s="40">
        <v>4</v>
      </c>
      <c r="B1156" s="40">
        <v>146</v>
      </c>
      <c r="C1156" s="28">
        <v>14.3783189</v>
      </c>
      <c r="D1156" s="28">
        <v>6.7329646600000004</v>
      </c>
      <c r="E1156" s="28">
        <v>26.9825728</v>
      </c>
      <c r="F1156" s="28">
        <v>25.067244599999999</v>
      </c>
      <c r="G1156" s="28">
        <v>24.136434600000001</v>
      </c>
      <c r="H1156" s="28">
        <v>72.915651400000002</v>
      </c>
      <c r="I1156" s="28">
        <v>62.446936700000002</v>
      </c>
      <c r="J1156" s="28">
        <v>983.18654800000002</v>
      </c>
      <c r="K1156" s="28">
        <v>872.10868100000005</v>
      </c>
      <c r="L1156" s="28">
        <v>6.0413629100000001</v>
      </c>
      <c r="M1156" s="28">
        <v>123.279213</v>
      </c>
      <c r="N1156" s="28">
        <v>72.066177600000003</v>
      </c>
      <c r="O1156" s="28">
        <v>1067.9678799999999</v>
      </c>
      <c r="P1156" s="28">
        <v>932.03212099999996</v>
      </c>
    </row>
    <row r="1157" spans="1:16" x14ac:dyDescent="0.25">
      <c r="A1157" s="40">
        <v>4</v>
      </c>
      <c r="B1157" s="40">
        <v>147</v>
      </c>
      <c r="C1157" s="28">
        <v>14.5342748</v>
      </c>
      <c r="D1157" s="28">
        <v>6.71144227</v>
      </c>
      <c r="E1157" s="28">
        <v>26.928539399999998</v>
      </c>
      <c r="F1157" s="28">
        <v>25.367381000000002</v>
      </c>
      <c r="G1157" s="28">
        <v>24.2458332</v>
      </c>
      <c r="H1157" s="28">
        <v>72.905979900000006</v>
      </c>
      <c r="I1157" s="28">
        <v>63.129682500000001</v>
      </c>
      <c r="J1157" s="28">
        <v>984.76578800000004</v>
      </c>
      <c r="K1157" s="28">
        <v>875.31902700000001</v>
      </c>
      <c r="L1157" s="28">
        <v>6.1200694999999996</v>
      </c>
      <c r="M1157" s="28">
        <v>123.582635</v>
      </c>
      <c r="N1157" s="28">
        <v>72.647689099999994</v>
      </c>
      <c r="O1157" s="28">
        <v>1081.88132</v>
      </c>
      <c r="P1157" s="28">
        <v>918.11868500000003</v>
      </c>
    </row>
    <row r="1158" spans="1:16" x14ac:dyDescent="0.25">
      <c r="A1158" s="40">
        <v>4</v>
      </c>
      <c r="B1158" s="40">
        <v>148</v>
      </c>
      <c r="C1158" s="28">
        <v>14.297969500000001</v>
      </c>
      <c r="D1158" s="28">
        <v>6.6882564100000002</v>
      </c>
      <c r="E1158" s="28">
        <v>27.029419300000001</v>
      </c>
      <c r="F1158" s="28">
        <v>25.4005689</v>
      </c>
      <c r="G1158" s="28">
        <v>24.424060900000001</v>
      </c>
      <c r="H1158" s="28">
        <v>73.449250800000002</v>
      </c>
      <c r="I1158" s="28">
        <v>63.0211252</v>
      </c>
      <c r="J1158" s="28">
        <v>981.75980400000003</v>
      </c>
      <c r="K1158" s="28">
        <v>876.35911899999996</v>
      </c>
      <c r="L1158" s="28">
        <v>6.1477479500000003</v>
      </c>
      <c r="M1158" s="28">
        <v>123.876361</v>
      </c>
      <c r="N1158" s="28">
        <v>72.514526200000006</v>
      </c>
      <c r="O1158" s="28">
        <v>1086.7742000000001</v>
      </c>
      <c r="P1158" s="28">
        <v>913.22580000000005</v>
      </c>
    </row>
    <row r="1159" spans="1:16" x14ac:dyDescent="0.25">
      <c r="A1159" s="40">
        <v>4</v>
      </c>
      <c r="B1159" s="40">
        <v>149</v>
      </c>
      <c r="C1159" s="28">
        <v>14.2884096</v>
      </c>
      <c r="D1159" s="28">
        <v>6.6922255100000001</v>
      </c>
      <c r="E1159" s="28">
        <v>26.880357</v>
      </c>
      <c r="F1159" s="28">
        <v>25.4740535</v>
      </c>
      <c r="G1159" s="28">
        <v>24.161017600000001</v>
      </c>
      <c r="H1159" s="28">
        <v>74.916191100000006</v>
      </c>
      <c r="I1159" s="28">
        <v>62.078195100000002</v>
      </c>
      <c r="J1159" s="28">
        <v>983.87911099999997</v>
      </c>
      <c r="K1159" s="28">
        <v>876.11252500000001</v>
      </c>
      <c r="L1159" s="28">
        <v>6.07905374</v>
      </c>
      <c r="M1159" s="28">
        <v>123.591122</v>
      </c>
      <c r="N1159" s="28">
        <v>74.133044699999999</v>
      </c>
      <c r="O1159" s="28">
        <v>1074.6307099999999</v>
      </c>
      <c r="P1159" s="28">
        <v>925.36928599999999</v>
      </c>
    </row>
    <row r="1160" spans="1:16" x14ac:dyDescent="0.25">
      <c r="A1160" s="40">
        <v>4</v>
      </c>
      <c r="B1160" s="40">
        <v>150</v>
      </c>
      <c r="C1160" s="28">
        <v>14.1705004</v>
      </c>
      <c r="D1160" s="28">
        <v>6.6136545800000004</v>
      </c>
      <c r="E1160" s="28">
        <v>26.7926413</v>
      </c>
      <c r="F1160" s="28">
        <v>25.110697399999999</v>
      </c>
      <c r="G1160" s="28">
        <v>24.244170400000002</v>
      </c>
      <c r="H1160" s="28">
        <v>74.285349800000006</v>
      </c>
      <c r="I1160" s="28">
        <v>60.882217099999998</v>
      </c>
      <c r="J1160" s="28">
        <v>982.40090599999996</v>
      </c>
      <c r="K1160" s="28">
        <v>874.949161</v>
      </c>
      <c r="L1160" s="28">
        <v>6.0893520499999996</v>
      </c>
      <c r="M1160" s="28">
        <v>122.569716</v>
      </c>
      <c r="N1160" s="28">
        <v>73.876729699999999</v>
      </c>
      <c r="O1160" s="28">
        <v>1076.4512099999999</v>
      </c>
      <c r="P1160" s="28">
        <v>923.54879400000004</v>
      </c>
    </row>
    <row r="1161" spans="1:16" x14ac:dyDescent="0.25">
      <c r="A1161" s="40">
        <v>4</v>
      </c>
      <c r="B1161" s="40">
        <v>151</v>
      </c>
      <c r="C1161" s="28">
        <v>14.121093800000001</v>
      </c>
      <c r="D1161" s="28">
        <v>6.5741277900000004</v>
      </c>
      <c r="E1161" s="28">
        <v>26.8707487</v>
      </c>
      <c r="F1161" s="28">
        <v>24.8146679</v>
      </c>
      <c r="G1161" s="28">
        <v>24.3592382</v>
      </c>
      <c r="H1161" s="28">
        <v>74.135096000000004</v>
      </c>
      <c r="I1161" s="28">
        <v>62.323565799999997</v>
      </c>
      <c r="J1161" s="28">
        <v>983.53959499999996</v>
      </c>
      <c r="K1161" s="28">
        <v>879.53758700000003</v>
      </c>
      <c r="L1161" s="28">
        <v>6.2350520899999999</v>
      </c>
      <c r="M1161" s="28">
        <v>123.118994</v>
      </c>
      <c r="N1161" s="28">
        <v>73.997079900000003</v>
      </c>
      <c r="O1161" s="28">
        <v>1102.20748</v>
      </c>
      <c r="P1161" s="28">
        <v>897.79252499999996</v>
      </c>
    </row>
    <row r="1162" spans="1:16" x14ac:dyDescent="0.25">
      <c r="A1162" s="40">
        <v>4</v>
      </c>
      <c r="B1162" s="40">
        <v>152</v>
      </c>
      <c r="C1162" s="28">
        <v>14.1830859</v>
      </c>
      <c r="D1162" s="28">
        <v>6.5968428399999999</v>
      </c>
      <c r="E1162" s="28">
        <v>26.774699300000002</v>
      </c>
      <c r="F1162" s="28">
        <v>24.7539689</v>
      </c>
      <c r="G1162" s="28">
        <v>24.074813800000001</v>
      </c>
      <c r="H1162" s="28">
        <v>74.487538200000003</v>
      </c>
      <c r="I1162" s="28">
        <v>61.886767499999998</v>
      </c>
      <c r="J1162" s="28">
        <v>982.95760399999995</v>
      </c>
      <c r="K1162" s="28">
        <v>882.61943099999996</v>
      </c>
      <c r="L1162" s="28">
        <v>6.18206101</v>
      </c>
      <c r="M1162" s="28">
        <v>122.66739200000001</v>
      </c>
      <c r="N1162" s="28">
        <v>73.643851999999995</v>
      </c>
      <c r="O1162" s="28">
        <v>1092.8399300000001</v>
      </c>
      <c r="P1162" s="28">
        <v>907.16007400000001</v>
      </c>
    </row>
    <row r="1163" spans="1:16" x14ac:dyDescent="0.25">
      <c r="A1163" s="40">
        <v>4</v>
      </c>
      <c r="B1163" s="40">
        <v>153</v>
      </c>
      <c r="C1163" s="28">
        <v>14.2412382</v>
      </c>
      <c r="D1163" s="28">
        <v>6.64842099</v>
      </c>
      <c r="E1163" s="28">
        <v>26.8332458</v>
      </c>
      <c r="F1163" s="28">
        <v>24.788018900000001</v>
      </c>
      <c r="G1163" s="28">
        <v>24.4420489</v>
      </c>
      <c r="H1163" s="28">
        <v>74.510277200000004</v>
      </c>
      <c r="I1163" s="28">
        <v>61.897669700000002</v>
      </c>
      <c r="J1163" s="28">
        <v>984.14786500000002</v>
      </c>
      <c r="K1163" s="28">
        <v>886.42784700000004</v>
      </c>
      <c r="L1163" s="28">
        <v>6.0218943600000001</v>
      </c>
      <c r="M1163" s="28">
        <v>122.911903</v>
      </c>
      <c r="N1163" s="28">
        <v>73.180946800000001</v>
      </c>
      <c r="O1163" s="28">
        <v>1064.52631</v>
      </c>
      <c r="P1163" s="28">
        <v>935.47369300000003</v>
      </c>
    </row>
    <row r="1164" spans="1:16" x14ac:dyDescent="0.25">
      <c r="A1164" s="40">
        <v>4</v>
      </c>
      <c r="B1164" s="40">
        <v>154</v>
      </c>
      <c r="C1164" s="28">
        <v>14.150108100000001</v>
      </c>
      <c r="D1164" s="28">
        <v>6.6567766500000003</v>
      </c>
      <c r="E1164" s="28">
        <v>26.663512900000001</v>
      </c>
      <c r="F1164" s="28">
        <v>24.6790962</v>
      </c>
      <c r="G1164" s="28">
        <v>24.3554715</v>
      </c>
      <c r="H1164" s="28">
        <v>74.901439800000006</v>
      </c>
      <c r="I1164" s="28">
        <v>62.119444000000001</v>
      </c>
      <c r="J1164" s="28">
        <v>982.44096300000001</v>
      </c>
      <c r="K1164" s="28">
        <v>883.64544599999999</v>
      </c>
      <c r="L1164" s="28">
        <v>5.9585280000000003</v>
      </c>
      <c r="M1164" s="28">
        <v>122.64089199999999</v>
      </c>
      <c r="N1164" s="28">
        <v>73.491770700000004</v>
      </c>
      <c r="O1164" s="28">
        <v>1053.32466</v>
      </c>
      <c r="P1164" s="28">
        <v>946.675342</v>
      </c>
    </row>
    <row r="1165" spans="1:16" x14ac:dyDescent="0.25">
      <c r="A1165" s="40">
        <v>4</v>
      </c>
      <c r="B1165" s="40">
        <v>155</v>
      </c>
      <c r="C1165" s="28">
        <v>14.2492535</v>
      </c>
      <c r="D1165" s="28">
        <v>6.6794288100000001</v>
      </c>
      <c r="E1165" s="28">
        <v>26.8363893</v>
      </c>
      <c r="F1165" s="28">
        <v>24.883400900000002</v>
      </c>
      <c r="G1165" s="28">
        <v>24.191063</v>
      </c>
      <c r="H1165" s="28">
        <v>75.1017923</v>
      </c>
      <c r="I1165" s="28">
        <v>62.590109300000002</v>
      </c>
      <c r="J1165" s="28">
        <v>984.08957499999997</v>
      </c>
      <c r="K1165" s="28">
        <v>889.83821999999998</v>
      </c>
      <c r="L1165" s="28">
        <v>6.0209808799999998</v>
      </c>
      <c r="M1165" s="28">
        <v>123.03228300000001</v>
      </c>
      <c r="N1165" s="28">
        <v>73.729017200000001</v>
      </c>
      <c r="O1165" s="28">
        <v>1064.36483</v>
      </c>
      <c r="P1165" s="28">
        <v>935.63517400000001</v>
      </c>
    </row>
    <row r="1166" spans="1:16" x14ac:dyDescent="0.25">
      <c r="A1166" s="40">
        <v>4</v>
      </c>
      <c r="B1166" s="40">
        <v>156</v>
      </c>
      <c r="C1166" s="28">
        <v>14.3198051</v>
      </c>
      <c r="D1166" s="28">
        <v>6.6730863899999999</v>
      </c>
      <c r="E1166" s="28">
        <v>26.902067500000001</v>
      </c>
      <c r="F1166" s="28">
        <v>25.0616308</v>
      </c>
      <c r="G1166" s="28">
        <v>24.3290811</v>
      </c>
      <c r="H1166" s="28">
        <v>74.048401200000001</v>
      </c>
      <c r="I1166" s="28">
        <v>62.701678600000001</v>
      </c>
      <c r="J1166" s="28">
        <v>982.31261800000004</v>
      </c>
      <c r="K1166" s="28">
        <v>890.89209900000003</v>
      </c>
      <c r="L1166" s="28">
        <v>5.9773258800000004</v>
      </c>
      <c r="M1166" s="28">
        <v>123.3729</v>
      </c>
      <c r="N1166" s="28">
        <v>72.728476799999996</v>
      </c>
      <c r="O1166" s="28">
        <v>1056.6476700000001</v>
      </c>
      <c r="P1166" s="28">
        <v>943.35233000000005</v>
      </c>
    </row>
    <row r="1167" spans="1:16" x14ac:dyDescent="0.25">
      <c r="A1167" s="40">
        <v>4</v>
      </c>
      <c r="B1167" s="40">
        <v>157</v>
      </c>
      <c r="C1167" s="28">
        <v>14.2949561</v>
      </c>
      <c r="D1167" s="28">
        <v>6.6442354000000003</v>
      </c>
      <c r="E1167" s="28">
        <v>26.7353086</v>
      </c>
      <c r="F1167" s="28">
        <v>24.973741400000002</v>
      </c>
      <c r="G1167" s="28">
        <v>24.436948999999998</v>
      </c>
      <c r="H1167" s="28">
        <v>73.179905000000005</v>
      </c>
      <c r="I1167" s="28">
        <v>63.452412500000001</v>
      </c>
      <c r="J1167" s="28">
        <v>983.260313</v>
      </c>
      <c r="K1167" s="28">
        <v>892.40840700000001</v>
      </c>
      <c r="L1167" s="28">
        <v>5.9661029399999999</v>
      </c>
      <c r="M1167" s="28">
        <v>123.277959</v>
      </c>
      <c r="N1167" s="28">
        <v>71.213233500000001</v>
      </c>
      <c r="O1167" s="28">
        <v>1054.66372</v>
      </c>
      <c r="P1167" s="28">
        <v>945.336275</v>
      </c>
    </row>
    <row r="1168" spans="1:16" x14ac:dyDescent="0.25">
      <c r="A1168" s="40">
        <v>4</v>
      </c>
      <c r="B1168" s="40">
        <v>158</v>
      </c>
      <c r="C1168" s="28">
        <v>14.2592271</v>
      </c>
      <c r="D1168" s="28">
        <v>6.62102945</v>
      </c>
      <c r="E1168" s="28">
        <v>26.907298399999998</v>
      </c>
      <c r="F1168" s="28">
        <v>25.254999999999999</v>
      </c>
      <c r="G1168" s="28">
        <v>24.452369600000001</v>
      </c>
      <c r="H1168" s="28">
        <v>74.055857399999994</v>
      </c>
      <c r="I1168" s="28">
        <v>63.626157999999997</v>
      </c>
      <c r="J1168" s="28">
        <v>981.24884799999995</v>
      </c>
      <c r="K1168" s="28">
        <v>893.68751099999997</v>
      </c>
      <c r="L1168" s="28">
        <v>6.0138382000000004</v>
      </c>
      <c r="M1168" s="28">
        <v>123.582258</v>
      </c>
      <c r="N1168" s="28">
        <v>72.865832999999995</v>
      </c>
      <c r="O1168" s="28">
        <v>1063.1021699999999</v>
      </c>
      <c r="P1168" s="28">
        <v>936.89782700000001</v>
      </c>
    </row>
    <row r="1169" spans="1:16" x14ac:dyDescent="0.25">
      <c r="A1169" s="40">
        <v>4</v>
      </c>
      <c r="B1169" s="40">
        <v>159</v>
      </c>
      <c r="C1169" s="28">
        <v>14.2464446</v>
      </c>
      <c r="D1169" s="28">
        <v>6.5635537099999999</v>
      </c>
      <c r="E1169" s="28">
        <v>27.0229818</v>
      </c>
      <c r="F1169" s="28">
        <v>25.1101043</v>
      </c>
      <c r="G1169" s="28">
        <v>24.490800700000001</v>
      </c>
      <c r="H1169" s="28">
        <v>74.3419569</v>
      </c>
      <c r="I1169" s="28">
        <v>63.833832899999997</v>
      </c>
      <c r="J1169" s="28">
        <v>982.73451</v>
      </c>
      <c r="K1169" s="28">
        <v>898.40060300000005</v>
      </c>
      <c r="L1169" s="28">
        <v>6.0719493599999996</v>
      </c>
      <c r="M1169" s="28">
        <v>123.877341</v>
      </c>
      <c r="N1169" s="28">
        <v>73.415208899999996</v>
      </c>
      <c r="O1169" s="28">
        <v>1073.37483</v>
      </c>
      <c r="P1169" s="28">
        <v>926.62517100000002</v>
      </c>
    </row>
    <row r="1170" spans="1:16" x14ac:dyDescent="0.25">
      <c r="A1170" s="40">
        <v>4</v>
      </c>
      <c r="B1170" s="40">
        <v>160</v>
      </c>
      <c r="C1170" s="28">
        <v>14.2757953</v>
      </c>
      <c r="D1170" s="28">
        <v>6.5240123900000002</v>
      </c>
      <c r="E1170" s="28">
        <v>26.7078448</v>
      </c>
      <c r="F1170" s="28">
        <v>25.032598199999999</v>
      </c>
      <c r="G1170" s="28">
        <v>24.374891600000002</v>
      </c>
      <c r="H1170" s="28">
        <v>74.242157399999996</v>
      </c>
      <c r="I1170" s="28">
        <v>63.130536399999997</v>
      </c>
      <c r="J1170" s="28">
        <v>981.97849199999996</v>
      </c>
      <c r="K1170" s="28">
        <v>898.37140699999998</v>
      </c>
      <c r="L1170" s="28">
        <v>6.0598641500000001</v>
      </c>
      <c r="M1170" s="28">
        <v>123.43402500000001</v>
      </c>
      <c r="N1170" s="28">
        <v>71.721004199999996</v>
      </c>
      <c r="O1170" s="28">
        <v>1071.2384500000001</v>
      </c>
      <c r="P1170" s="28">
        <v>928.76154599999995</v>
      </c>
    </row>
    <row r="1171" spans="1:16" x14ac:dyDescent="0.25">
      <c r="A1171" s="40">
        <v>4</v>
      </c>
      <c r="B1171" s="40">
        <v>161</v>
      </c>
      <c r="C1171" s="28">
        <v>14.265441900000001</v>
      </c>
      <c r="D1171" s="28">
        <v>6.4953042400000003</v>
      </c>
      <c r="E1171" s="28">
        <v>26.646747099999999</v>
      </c>
      <c r="F1171" s="28">
        <v>24.875407299999999</v>
      </c>
      <c r="G1171" s="28">
        <v>24.3104218</v>
      </c>
      <c r="H1171" s="28">
        <v>74.434895400000002</v>
      </c>
      <c r="I1171" s="28">
        <v>63.132238600000001</v>
      </c>
      <c r="J1171" s="28">
        <v>983.65455499999996</v>
      </c>
      <c r="K1171" s="28">
        <v>902.59782700000005</v>
      </c>
      <c r="L1171" s="28">
        <v>6.0657333199999997</v>
      </c>
      <c r="M1171" s="28">
        <v>123.273171</v>
      </c>
      <c r="N1171" s="28">
        <v>72.932057599999993</v>
      </c>
      <c r="O1171" s="28">
        <v>1072.2759799999999</v>
      </c>
      <c r="P1171" s="28">
        <v>927.724017</v>
      </c>
    </row>
    <row r="1172" spans="1:16" x14ac:dyDescent="0.25">
      <c r="A1172" s="40">
        <v>4</v>
      </c>
      <c r="B1172" s="40">
        <v>162</v>
      </c>
      <c r="C1172" s="28">
        <v>14.1336485</v>
      </c>
      <c r="D1172" s="28">
        <v>6.5074153499999996</v>
      </c>
      <c r="E1172" s="28">
        <v>26.630692700000001</v>
      </c>
      <c r="F1172" s="28">
        <v>24.854551000000001</v>
      </c>
      <c r="G1172" s="28">
        <v>24.375534999999999</v>
      </c>
      <c r="H1172" s="28">
        <v>74.331824999999995</v>
      </c>
      <c r="I1172" s="28">
        <v>63.579292199999998</v>
      </c>
      <c r="J1172" s="28">
        <v>981.321639</v>
      </c>
      <c r="K1172" s="28">
        <v>906.94814299999996</v>
      </c>
      <c r="L1172" s="28">
        <v>6.0253679399999998</v>
      </c>
      <c r="M1172" s="28">
        <v>123.339685</v>
      </c>
      <c r="N1172" s="28">
        <v>72.992516899999998</v>
      </c>
      <c r="O1172" s="28">
        <v>1065.1403499999999</v>
      </c>
      <c r="P1172" s="28">
        <v>934.859646</v>
      </c>
    </row>
    <row r="1173" spans="1:16" x14ac:dyDescent="0.25">
      <c r="A1173" s="40">
        <v>4</v>
      </c>
      <c r="B1173" s="40">
        <v>163</v>
      </c>
      <c r="C1173" s="28">
        <v>14.2600178</v>
      </c>
      <c r="D1173" s="28">
        <v>6.4930659899999998</v>
      </c>
      <c r="E1173" s="28">
        <v>26.999450899999999</v>
      </c>
      <c r="F1173" s="28">
        <v>25.066249299999999</v>
      </c>
      <c r="G1173" s="28">
        <v>24.490160899999999</v>
      </c>
      <c r="H1173" s="28">
        <v>74.902588100000003</v>
      </c>
      <c r="I1173" s="28">
        <v>63.614415200000003</v>
      </c>
      <c r="J1173" s="28">
        <v>982.889545</v>
      </c>
      <c r="K1173" s="28">
        <v>910.07691699999998</v>
      </c>
      <c r="L1173" s="28">
        <v>6.0443235399999997</v>
      </c>
      <c r="M1173" s="28">
        <v>123.85832499999999</v>
      </c>
      <c r="N1173" s="28">
        <v>75.115038400000003</v>
      </c>
      <c r="O1173" s="28">
        <v>1068.49125</v>
      </c>
      <c r="P1173" s="28">
        <v>931.50875299999996</v>
      </c>
    </row>
    <row r="1174" spans="1:16" x14ac:dyDescent="0.25">
      <c r="A1174" s="40">
        <v>4</v>
      </c>
      <c r="B1174" s="40">
        <v>164</v>
      </c>
      <c r="C1174" s="28">
        <v>14.305257900000001</v>
      </c>
      <c r="D1174" s="28">
        <v>6.5286661700000002</v>
      </c>
      <c r="E1174" s="28">
        <v>26.701627500000001</v>
      </c>
      <c r="F1174" s="28">
        <v>25.3662046</v>
      </c>
      <c r="G1174" s="28">
        <v>24.702136899999999</v>
      </c>
      <c r="H1174" s="28">
        <v>76.119092100000003</v>
      </c>
      <c r="I1174" s="28">
        <v>65.513341100000005</v>
      </c>
      <c r="J1174" s="28">
        <v>980.92345899999998</v>
      </c>
      <c r="K1174" s="28">
        <v>911.23187800000005</v>
      </c>
      <c r="L1174" s="28">
        <v>6.0029258600000004</v>
      </c>
      <c r="M1174" s="28">
        <v>124.99274800000001</v>
      </c>
      <c r="N1174" s="28">
        <v>73.401472799999993</v>
      </c>
      <c r="O1174" s="28">
        <v>1061.1731299999999</v>
      </c>
      <c r="P1174" s="28">
        <v>938.82686799999999</v>
      </c>
    </row>
    <row r="1175" spans="1:16" x14ac:dyDescent="0.25">
      <c r="A1175" s="40">
        <v>4</v>
      </c>
      <c r="B1175" s="40">
        <v>165</v>
      </c>
      <c r="C1175" s="28">
        <v>14.2385625</v>
      </c>
      <c r="D1175" s="28">
        <v>6.5180290899999997</v>
      </c>
      <c r="E1175" s="28">
        <v>26.585450900000001</v>
      </c>
      <c r="F1175" s="28">
        <v>25.166373199999999</v>
      </c>
      <c r="G1175" s="28">
        <v>24.776109399999999</v>
      </c>
      <c r="H1175" s="28">
        <v>75.748202899999995</v>
      </c>
      <c r="I1175" s="28">
        <v>65.399799799999997</v>
      </c>
      <c r="J1175" s="28">
        <v>982.05768999999998</v>
      </c>
      <c r="K1175" s="28">
        <v>913.23154</v>
      </c>
      <c r="L1175" s="28">
        <v>5.95154301</v>
      </c>
      <c r="M1175" s="28">
        <v>124.630256</v>
      </c>
      <c r="N1175" s="28">
        <v>73.707969599999998</v>
      </c>
      <c r="O1175" s="28">
        <v>1052.08988</v>
      </c>
      <c r="P1175" s="28">
        <v>947.910122</v>
      </c>
    </row>
    <row r="1176" spans="1:16" x14ac:dyDescent="0.25">
      <c r="A1176" s="40">
        <v>4</v>
      </c>
      <c r="B1176" s="40">
        <v>166</v>
      </c>
      <c r="C1176" s="28">
        <v>14.2693976</v>
      </c>
      <c r="D1176" s="28">
        <v>6.5377963699999997</v>
      </c>
      <c r="E1176" s="28">
        <v>26.695795199999999</v>
      </c>
      <c r="F1176" s="28">
        <v>25.037400399999999</v>
      </c>
      <c r="G1176" s="28">
        <v>24.7969671</v>
      </c>
      <c r="H1176" s="28">
        <v>74.2926018</v>
      </c>
      <c r="I1176" s="28">
        <v>63.927030799999997</v>
      </c>
      <c r="J1176" s="28">
        <v>981.090148</v>
      </c>
      <c r="K1176" s="28">
        <v>913.20706800000005</v>
      </c>
      <c r="L1176" s="28">
        <v>5.94665629</v>
      </c>
      <c r="M1176" s="28">
        <v>123.50210300000001</v>
      </c>
      <c r="N1176" s="28">
        <v>72.403882600000003</v>
      </c>
      <c r="O1176" s="28">
        <v>1051.2260200000001</v>
      </c>
      <c r="P1176" s="28">
        <v>948.77397699999995</v>
      </c>
    </row>
    <row r="1177" spans="1:16" x14ac:dyDescent="0.25">
      <c r="A1177" s="40">
        <v>4</v>
      </c>
      <c r="B1177" s="40">
        <v>167</v>
      </c>
      <c r="C1177" s="28">
        <v>14.345569599999999</v>
      </c>
      <c r="D1177" s="28">
        <v>6.4175317099999996</v>
      </c>
      <c r="E1177" s="28">
        <v>26.7948238</v>
      </c>
      <c r="F1177" s="28">
        <v>25.0250494</v>
      </c>
      <c r="G1177" s="28">
        <v>24.6845842</v>
      </c>
      <c r="H1177" s="28">
        <v>74.070440399999995</v>
      </c>
      <c r="I1177" s="28">
        <v>62.686641899999998</v>
      </c>
      <c r="J1177" s="28">
        <v>983.21547899999996</v>
      </c>
      <c r="K1177" s="28">
        <v>906.93564900000001</v>
      </c>
      <c r="L1177" s="28">
        <v>5.9388100100000001</v>
      </c>
      <c r="M1177" s="28">
        <v>123.684668</v>
      </c>
      <c r="N1177" s="28">
        <v>74.165296999999995</v>
      </c>
      <c r="O1177" s="28">
        <v>1049.83899</v>
      </c>
      <c r="P1177" s="28">
        <v>950.16101100000003</v>
      </c>
    </row>
    <row r="1178" spans="1:16" x14ac:dyDescent="0.25">
      <c r="A1178" s="40">
        <v>4</v>
      </c>
      <c r="B1178" s="40">
        <v>168</v>
      </c>
      <c r="C1178" s="28">
        <v>14.435845499999999</v>
      </c>
      <c r="D1178" s="28">
        <v>6.4483926399999998</v>
      </c>
      <c r="E1178" s="28">
        <v>26.647191200000002</v>
      </c>
      <c r="F1178" s="28">
        <v>24.938369099999999</v>
      </c>
      <c r="G1178" s="28">
        <v>24.949515300000002</v>
      </c>
      <c r="H1178" s="28">
        <v>74.140721499999998</v>
      </c>
      <c r="I1178" s="28">
        <v>63.305574700000001</v>
      </c>
      <c r="J1178" s="28">
        <v>982.19368199999997</v>
      </c>
      <c r="K1178" s="28">
        <v>910.23322299999995</v>
      </c>
      <c r="L1178" s="28">
        <v>5.8821301899999998</v>
      </c>
      <c r="M1178" s="28">
        <v>123.92432700000001</v>
      </c>
      <c r="N1178" s="28">
        <v>74.508612200000002</v>
      </c>
      <c r="O1178" s="28">
        <v>1039.81936</v>
      </c>
      <c r="P1178" s="28">
        <v>960.18064100000004</v>
      </c>
    </row>
    <row r="1179" spans="1:16" x14ac:dyDescent="0.25">
      <c r="A1179" s="40">
        <v>4</v>
      </c>
      <c r="B1179" s="40">
        <v>169</v>
      </c>
      <c r="C1179" s="28">
        <v>14.411045700000001</v>
      </c>
      <c r="D1179" s="28">
        <v>6.3899686500000001</v>
      </c>
      <c r="E1179" s="28">
        <v>26.625750100000001</v>
      </c>
      <c r="F1179" s="28">
        <v>24.920335099999999</v>
      </c>
      <c r="G1179" s="28">
        <v>25.190790799999998</v>
      </c>
      <c r="H1179" s="28">
        <v>73.096758800000003</v>
      </c>
      <c r="I1179" s="28">
        <v>63.1982371</v>
      </c>
      <c r="J1179" s="28">
        <v>982.89959499999998</v>
      </c>
      <c r="K1179" s="28">
        <v>910.93894</v>
      </c>
      <c r="L1179" s="28">
        <v>5.9010246300000002</v>
      </c>
      <c r="M1179" s="28">
        <v>123.877191</v>
      </c>
      <c r="N1179" s="28">
        <v>73.507359699999995</v>
      </c>
      <c r="O1179" s="28">
        <v>1043.1594399999999</v>
      </c>
      <c r="P1179" s="28">
        <v>956.84055799999999</v>
      </c>
    </row>
    <row r="1180" spans="1:16" x14ac:dyDescent="0.25">
      <c r="A1180" s="40">
        <v>4</v>
      </c>
      <c r="B1180" s="40">
        <v>170</v>
      </c>
      <c r="C1180" s="28">
        <v>14.4858636</v>
      </c>
      <c r="D1180" s="28">
        <v>6.3580199200000003</v>
      </c>
      <c r="E1180" s="28">
        <v>26.642145899999999</v>
      </c>
      <c r="F1180" s="28">
        <v>24.858983500000001</v>
      </c>
      <c r="G1180" s="28">
        <v>25.427692100000002</v>
      </c>
      <c r="H1180" s="28">
        <v>72.452747900000006</v>
      </c>
      <c r="I1180" s="28">
        <v>63.1992197</v>
      </c>
      <c r="J1180" s="28">
        <v>981.81409299999996</v>
      </c>
      <c r="K1180" s="28">
        <v>914.63547700000004</v>
      </c>
      <c r="L1180" s="28">
        <v>5.8819639300000004</v>
      </c>
      <c r="M1180" s="28">
        <v>124.153097</v>
      </c>
      <c r="N1180" s="28">
        <v>72.6069174</v>
      </c>
      <c r="O1180" s="28">
        <v>1039.78997</v>
      </c>
      <c r="P1180" s="28">
        <v>960.21003199999996</v>
      </c>
    </row>
    <row r="1181" spans="1:16" x14ac:dyDescent="0.25">
      <c r="A1181" s="40">
        <v>4</v>
      </c>
      <c r="B1181" s="40">
        <v>171</v>
      </c>
      <c r="C1181" s="28">
        <v>14.4030459</v>
      </c>
      <c r="D1181" s="28">
        <v>6.3327032799999996</v>
      </c>
      <c r="E1181" s="28">
        <v>26.633342599999999</v>
      </c>
      <c r="F1181" s="28">
        <v>24.852620699999999</v>
      </c>
      <c r="G1181" s="28">
        <v>25.693197900000001</v>
      </c>
      <c r="H1181" s="28">
        <v>71.668261799999996</v>
      </c>
      <c r="I1181" s="28">
        <v>62.648309099999999</v>
      </c>
      <c r="J1181" s="28">
        <v>982.24878899999999</v>
      </c>
      <c r="K1181" s="28">
        <v>917.01754500000004</v>
      </c>
      <c r="L1181" s="28">
        <v>5.9543046400000001</v>
      </c>
      <c r="M1181" s="28">
        <v>124.089483</v>
      </c>
      <c r="N1181" s="28">
        <v>72.066230599999997</v>
      </c>
      <c r="O1181" s="28">
        <v>1052.57807</v>
      </c>
      <c r="P1181" s="28">
        <v>947.42193199999997</v>
      </c>
    </row>
    <row r="1182" spans="1:16" x14ac:dyDescent="0.25">
      <c r="A1182" s="40">
        <v>4</v>
      </c>
      <c r="B1182" s="40">
        <v>172</v>
      </c>
      <c r="C1182" s="28">
        <v>14.370331200000001</v>
      </c>
      <c r="D1182" s="28">
        <v>6.3370936899999997</v>
      </c>
      <c r="E1182" s="28">
        <v>26.751270000000002</v>
      </c>
      <c r="F1182" s="28">
        <v>24.8606576</v>
      </c>
      <c r="G1182" s="28">
        <v>25.495395599999998</v>
      </c>
      <c r="H1182" s="28">
        <v>72.365028699999996</v>
      </c>
      <c r="I1182" s="28">
        <v>62.789023299999997</v>
      </c>
      <c r="J1182" s="28">
        <v>981.10547999999994</v>
      </c>
      <c r="K1182" s="28">
        <v>910.23385699999994</v>
      </c>
      <c r="L1182" s="28">
        <v>6.0612941300000003</v>
      </c>
      <c r="M1182" s="28">
        <v>124.157864</v>
      </c>
      <c r="N1182" s="28">
        <v>72.133388999999994</v>
      </c>
      <c r="O1182" s="28">
        <v>1071.4912400000001</v>
      </c>
      <c r="P1182" s="28">
        <v>928.50875900000005</v>
      </c>
    </row>
    <row r="1183" spans="1:16" x14ac:dyDescent="0.25">
      <c r="A1183" s="40">
        <v>4</v>
      </c>
      <c r="B1183" s="40">
        <v>173</v>
      </c>
      <c r="C1183" s="28">
        <v>14.490553800000001</v>
      </c>
      <c r="D1183" s="28">
        <v>6.3841633199999999</v>
      </c>
      <c r="E1183" s="28">
        <v>26.829449</v>
      </c>
      <c r="F1183" s="28">
        <v>24.867161500000002</v>
      </c>
      <c r="G1183" s="28">
        <v>25.635060899999999</v>
      </c>
      <c r="H1183" s="28">
        <v>73.4907781</v>
      </c>
      <c r="I1183" s="28">
        <v>62.904741299999998</v>
      </c>
      <c r="J1183" s="28">
        <v>982.99386000000004</v>
      </c>
      <c r="K1183" s="28">
        <v>915.66634299999998</v>
      </c>
      <c r="L1183" s="28">
        <v>5.9896366299999997</v>
      </c>
      <c r="M1183" s="28">
        <v>124.344697</v>
      </c>
      <c r="N1183" s="28">
        <v>69.700710999999998</v>
      </c>
      <c r="O1183" s="28">
        <v>1058.82392</v>
      </c>
      <c r="P1183" s="28">
        <v>941.17608399999995</v>
      </c>
    </row>
    <row r="1184" spans="1:16" x14ac:dyDescent="0.25">
      <c r="A1184" s="40">
        <v>4</v>
      </c>
      <c r="B1184" s="40">
        <v>174</v>
      </c>
      <c r="C1184" s="28">
        <v>14.545821999999999</v>
      </c>
      <c r="D1184" s="28">
        <v>6.4116701799999998</v>
      </c>
      <c r="E1184" s="28">
        <v>27.0881899</v>
      </c>
      <c r="F1184" s="28">
        <v>24.7182244</v>
      </c>
      <c r="G1184" s="28">
        <v>25.473301299999999</v>
      </c>
      <c r="H1184" s="28">
        <v>74.295088000000007</v>
      </c>
      <c r="I1184" s="28">
        <v>64.154882900000004</v>
      </c>
      <c r="J1184" s="28">
        <v>982.34688700000004</v>
      </c>
      <c r="K1184" s="28">
        <v>919.78501400000005</v>
      </c>
      <c r="L1184" s="28">
        <v>5.9424275</v>
      </c>
      <c r="M1184" s="28">
        <v>125.01286399999999</v>
      </c>
      <c r="N1184" s="28">
        <v>69.085397900000004</v>
      </c>
      <c r="O1184" s="28">
        <v>1050.47848</v>
      </c>
      <c r="P1184" s="28">
        <v>949.521524</v>
      </c>
    </row>
    <row r="1185" spans="1:16" x14ac:dyDescent="0.25">
      <c r="A1185" s="40">
        <v>4</v>
      </c>
      <c r="B1185" s="40">
        <v>175</v>
      </c>
      <c r="C1185" s="28">
        <v>14.6400404</v>
      </c>
      <c r="D1185" s="28">
        <v>6.36545074</v>
      </c>
      <c r="E1185" s="28">
        <v>26.992524899999999</v>
      </c>
      <c r="F1185" s="28">
        <v>24.606904</v>
      </c>
      <c r="G1185" s="28">
        <v>25.5481126</v>
      </c>
      <c r="H1185" s="28">
        <v>74.242157700000007</v>
      </c>
      <c r="I1185" s="28">
        <v>64.754819699999999</v>
      </c>
      <c r="J1185" s="28">
        <v>984.10355200000004</v>
      </c>
      <c r="K1185" s="28">
        <v>916.35502699999995</v>
      </c>
      <c r="L1185" s="28">
        <v>5.93806207</v>
      </c>
      <c r="M1185" s="28">
        <v>125.31744399999999</v>
      </c>
      <c r="N1185" s="28">
        <v>68.068517900000003</v>
      </c>
      <c r="O1185" s="28">
        <v>1049.70677</v>
      </c>
      <c r="P1185" s="28">
        <v>950.293228</v>
      </c>
    </row>
    <row r="1186" spans="1:16" x14ac:dyDescent="0.25">
      <c r="A1186" s="40">
        <v>4</v>
      </c>
      <c r="B1186" s="40">
        <v>176</v>
      </c>
      <c r="C1186" s="28">
        <v>14.729301</v>
      </c>
      <c r="D1186" s="28">
        <v>6.3727664300000004</v>
      </c>
      <c r="E1186" s="28">
        <v>26.769482199999999</v>
      </c>
      <c r="F1186" s="28">
        <v>24.495634299999999</v>
      </c>
      <c r="G1186" s="28">
        <v>25.646615700000002</v>
      </c>
      <c r="H1186" s="28">
        <v>73.3616581</v>
      </c>
      <c r="I1186" s="28">
        <v>63.2241255</v>
      </c>
      <c r="J1186" s="28">
        <v>983.75178800000003</v>
      </c>
      <c r="K1186" s="28">
        <v>914.80890599999998</v>
      </c>
      <c r="L1186" s="28">
        <v>5.9258317399999996</v>
      </c>
      <c r="M1186" s="28">
        <v>124.752137</v>
      </c>
      <c r="N1186" s="28">
        <v>67.744243800000007</v>
      </c>
      <c r="O1186" s="28">
        <v>1047.54474</v>
      </c>
      <c r="P1186" s="28">
        <v>952.45525599999996</v>
      </c>
    </row>
    <row r="1187" spans="1:16" x14ac:dyDescent="0.25">
      <c r="A1187" s="40">
        <v>4</v>
      </c>
      <c r="B1187" s="40">
        <v>177</v>
      </c>
      <c r="C1187" s="28">
        <v>14.8522727</v>
      </c>
      <c r="D1187" s="28">
        <v>6.3357685799999999</v>
      </c>
      <c r="E1187" s="28">
        <v>26.8140441</v>
      </c>
      <c r="F1187" s="28">
        <v>24.7725638</v>
      </c>
      <c r="G1187" s="28">
        <v>25.6660188</v>
      </c>
      <c r="H1187" s="28">
        <v>72.942705000000004</v>
      </c>
      <c r="I1187" s="28">
        <v>63.339224600000001</v>
      </c>
      <c r="J1187" s="28">
        <v>985.012021</v>
      </c>
      <c r="K1187" s="28">
        <v>917.50949500000002</v>
      </c>
      <c r="L1187" s="28">
        <v>5.9357284000000003</v>
      </c>
      <c r="M1187" s="28">
        <v>124.68498599999999</v>
      </c>
      <c r="N1187" s="28">
        <v>67.930233799999996</v>
      </c>
      <c r="O1187" s="28">
        <v>1049.2942399999999</v>
      </c>
      <c r="P1187" s="28">
        <v>950.70576500000004</v>
      </c>
    </row>
    <row r="1188" spans="1:16" x14ac:dyDescent="0.25">
      <c r="A1188" s="40">
        <v>4</v>
      </c>
      <c r="B1188" s="40">
        <v>178</v>
      </c>
      <c r="C1188" s="28">
        <v>14.9852431</v>
      </c>
      <c r="D1188" s="28">
        <v>6.3192336500000001</v>
      </c>
      <c r="E1188" s="28">
        <v>26.6149545</v>
      </c>
      <c r="F1188" s="28">
        <v>24.805913100000001</v>
      </c>
      <c r="G1188" s="28">
        <v>25.675970499999998</v>
      </c>
      <c r="H1188" s="28">
        <v>73.610620900000001</v>
      </c>
      <c r="I1188" s="28">
        <v>62.277962199999997</v>
      </c>
      <c r="J1188" s="28">
        <v>985.11149499999999</v>
      </c>
      <c r="K1188" s="28">
        <v>915.89599399999997</v>
      </c>
      <c r="L1188" s="28">
        <v>6.0053058300000002</v>
      </c>
      <c r="M1188" s="28">
        <v>124.67012200000001</v>
      </c>
      <c r="N1188" s="28">
        <v>69.0633002</v>
      </c>
      <c r="O1188" s="28">
        <v>1061.59385</v>
      </c>
      <c r="P1188" s="28">
        <v>938.40614700000003</v>
      </c>
    </row>
    <row r="1189" spans="1:16" x14ac:dyDescent="0.25">
      <c r="A1189" s="40">
        <v>4</v>
      </c>
      <c r="B1189" s="40">
        <v>179</v>
      </c>
      <c r="C1189" s="28">
        <v>14.999663099999999</v>
      </c>
      <c r="D1189" s="28">
        <v>6.3123789199999996</v>
      </c>
      <c r="E1189" s="28">
        <v>26.456411200000002</v>
      </c>
      <c r="F1189" s="28">
        <v>24.676744899999999</v>
      </c>
      <c r="G1189" s="28">
        <v>25.320880500000001</v>
      </c>
      <c r="H1189" s="28">
        <v>73.149276099999994</v>
      </c>
      <c r="I1189" s="28">
        <v>60.807552100000002</v>
      </c>
      <c r="J1189" s="28">
        <v>987.23287800000003</v>
      </c>
      <c r="K1189" s="28">
        <v>916.15910099999996</v>
      </c>
      <c r="L1189" s="28">
        <v>5.9512936200000004</v>
      </c>
      <c r="M1189" s="28">
        <v>123.726568</v>
      </c>
      <c r="N1189" s="28">
        <v>68.242105100000003</v>
      </c>
      <c r="O1189" s="28">
        <v>1052.0457899999999</v>
      </c>
      <c r="P1189" s="28">
        <v>947.954207</v>
      </c>
    </row>
    <row r="1190" spans="1:16" x14ac:dyDescent="0.25">
      <c r="A1190" s="40">
        <v>4</v>
      </c>
      <c r="B1190" s="40">
        <v>180</v>
      </c>
      <c r="C1190" s="28">
        <v>14.9399993</v>
      </c>
      <c r="D1190" s="28">
        <v>6.3663243200000004</v>
      </c>
      <c r="E1190" s="28">
        <v>26.330289499999999</v>
      </c>
      <c r="F1190" s="28">
        <v>24.819596199999999</v>
      </c>
      <c r="G1190" s="28">
        <v>25.553851999999999</v>
      </c>
      <c r="H1190" s="28">
        <v>74.318493899999993</v>
      </c>
      <c r="I1190" s="28">
        <v>62.326915300000003</v>
      </c>
      <c r="J1190" s="28">
        <v>985.28353800000002</v>
      </c>
      <c r="K1190" s="28">
        <v>913.34034799999995</v>
      </c>
      <c r="L1190" s="28">
        <v>5.9743049299999997</v>
      </c>
      <c r="M1190" s="28">
        <v>124.47099900000001</v>
      </c>
      <c r="N1190" s="28">
        <v>68.222977700000001</v>
      </c>
      <c r="O1190" s="28">
        <v>1056.11364</v>
      </c>
      <c r="P1190" s="28">
        <v>943.88635999999997</v>
      </c>
    </row>
    <row r="1191" spans="1:16" x14ac:dyDescent="0.25">
      <c r="A1191" s="40">
        <v>4</v>
      </c>
      <c r="B1191" s="40">
        <v>181</v>
      </c>
      <c r="C1191" s="28">
        <v>14.931050300000001</v>
      </c>
      <c r="D1191" s="28">
        <v>6.4419348899999997</v>
      </c>
      <c r="E1191" s="28">
        <v>26.482082200000001</v>
      </c>
      <c r="F1191" s="28">
        <v>25.107475699999998</v>
      </c>
      <c r="G1191" s="28">
        <v>25.6380251</v>
      </c>
      <c r="H1191" s="28">
        <v>74.425279099999997</v>
      </c>
      <c r="I1191" s="28">
        <v>62.675219300000002</v>
      </c>
      <c r="J1191" s="28">
        <v>985.63221699999997</v>
      </c>
      <c r="K1191" s="28">
        <v>916.45331499999998</v>
      </c>
      <c r="L1191" s="28">
        <v>5.9895564500000003</v>
      </c>
      <c r="M1191" s="28">
        <v>124.853635</v>
      </c>
      <c r="N1191" s="28">
        <v>67.486863299999996</v>
      </c>
      <c r="O1191" s="28">
        <v>1058.8097399999999</v>
      </c>
      <c r="P1191" s="28">
        <v>941.19025799999997</v>
      </c>
    </row>
    <row r="1192" spans="1:16" x14ac:dyDescent="0.25">
      <c r="A1192" s="40">
        <v>4</v>
      </c>
      <c r="B1192" s="40">
        <v>182</v>
      </c>
      <c r="C1192" s="28">
        <v>14.8873674</v>
      </c>
      <c r="D1192" s="28">
        <v>6.4914595300000002</v>
      </c>
      <c r="E1192" s="28">
        <v>26.450121200000002</v>
      </c>
      <c r="F1192" s="28">
        <v>25.050842800000002</v>
      </c>
      <c r="G1192" s="28">
        <v>26.0263989</v>
      </c>
      <c r="H1192" s="28">
        <v>73.544108499999993</v>
      </c>
      <c r="I1192" s="28">
        <v>63.766422300000002</v>
      </c>
      <c r="J1192" s="28">
        <v>983.61121500000002</v>
      </c>
      <c r="K1192" s="28">
        <v>915.86078699999996</v>
      </c>
      <c r="L1192" s="28">
        <v>5.9099774900000002</v>
      </c>
      <c r="M1192" s="28">
        <v>124.966948</v>
      </c>
      <c r="N1192" s="28">
        <v>67.721132299999994</v>
      </c>
      <c r="O1192" s="28">
        <v>1044.74209</v>
      </c>
      <c r="P1192" s="28">
        <v>955.25790700000005</v>
      </c>
    </row>
    <row r="1193" spans="1:16" x14ac:dyDescent="0.25">
      <c r="A1193" s="40">
        <v>4</v>
      </c>
      <c r="B1193" s="40">
        <v>183</v>
      </c>
      <c r="C1193" s="28">
        <v>14.870712599999999</v>
      </c>
      <c r="D1193" s="28">
        <v>6.5272286399999997</v>
      </c>
      <c r="E1193" s="28">
        <v>26.816776900000001</v>
      </c>
      <c r="F1193" s="28">
        <v>24.984824700000001</v>
      </c>
      <c r="G1193" s="28">
        <v>26.001871099999999</v>
      </c>
      <c r="H1193" s="28">
        <v>73.193437399999993</v>
      </c>
      <c r="I1193" s="28">
        <v>63.9068574</v>
      </c>
      <c r="J1193" s="28">
        <v>984.513913</v>
      </c>
      <c r="K1193" s="28">
        <v>926.49659599999995</v>
      </c>
      <c r="L1193" s="28">
        <v>5.7568218499999997</v>
      </c>
      <c r="M1193" s="28">
        <v>125.37294900000001</v>
      </c>
      <c r="N1193" s="28">
        <v>68.038698800000006</v>
      </c>
      <c r="O1193" s="28">
        <v>1017.66785</v>
      </c>
      <c r="P1193" s="28">
        <v>982.33214599999997</v>
      </c>
    </row>
    <row r="1194" spans="1:16" x14ac:dyDescent="0.25">
      <c r="A1194" s="40">
        <v>4</v>
      </c>
      <c r="B1194" s="40">
        <v>184</v>
      </c>
      <c r="C1194" s="28">
        <v>14.588288199999999</v>
      </c>
      <c r="D1194" s="28">
        <v>6.5031096399999999</v>
      </c>
      <c r="E1194" s="28">
        <v>26.7605118</v>
      </c>
      <c r="F1194" s="28">
        <v>25.122222099999998</v>
      </c>
      <c r="G1194" s="28">
        <v>25.8080134</v>
      </c>
      <c r="H1194" s="28">
        <v>72.720928799999996</v>
      </c>
      <c r="I1194" s="28">
        <v>63.241163999999998</v>
      </c>
      <c r="J1194" s="28">
        <v>982.00533199999995</v>
      </c>
      <c r="K1194" s="28">
        <v>924.67421899999999</v>
      </c>
      <c r="L1194" s="28">
        <v>5.7296334499999997</v>
      </c>
      <c r="M1194" s="28">
        <v>124.355924</v>
      </c>
      <c r="N1194" s="28">
        <v>67.630069899999995</v>
      </c>
      <c r="O1194" s="28">
        <v>1012.8616</v>
      </c>
      <c r="P1194" s="28">
        <v>987.13840200000004</v>
      </c>
    </row>
    <row r="1195" spans="1:16" x14ac:dyDescent="0.25">
      <c r="A1195" s="40">
        <v>4</v>
      </c>
      <c r="B1195" s="40">
        <v>185</v>
      </c>
      <c r="C1195" s="28">
        <v>14.5499226</v>
      </c>
      <c r="D1195" s="28">
        <v>6.51758142</v>
      </c>
      <c r="E1195" s="28">
        <v>26.9168895</v>
      </c>
      <c r="F1195" s="28">
        <v>24.928584399999998</v>
      </c>
      <c r="G1195" s="28">
        <v>25.789162300000001</v>
      </c>
      <c r="H1195" s="28">
        <v>73.5354162</v>
      </c>
      <c r="I1195" s="28">
        <v>62.874073000000003</v>
      </c>
      <c r="J1195" s="28">
        <v>983.41194900000005</v>
      </c>
      <c r="K1195" s="28">
        <v>927.60467700000004</v>
      </c>
      <c r="L1195" s="28">
        <v>5.6052908600000002</v>
      </c>
      <c r="M1195" s="28">
        <v>124.510334</v>
      </c>
      <c r="N1195" s="28">
        <v>68.748953299999997</v>
      </c>
      <c r="O1195" s="28">
        <v>990.88081299999999</v>
      </c>
      <c r="P1195" s="28">
        <v>1009.11919</v>
      </c>
    </row>
    <row r="1196" spans="1:16" x14ac:dyDescent="0.25">
      <c r="A1196" s="40">
        <v>4</v>
      </c>
      <c r="B1196" s="40">
        <v>186</v>
      </c>
      <c r="C1196" s="28">
        <v>14.6413364</v>
      </c>
      <c r="D1196" s="28">
        <v>6.5894763599999999</v>
      </c>
      <c r="E1196" s="28">
        <v>27.123522900000001</v>
      </c>
      <c r="F1196" s="28">
        <v>25.100777999999998</v>
      </c>
      <c r="G1196" s="28">
        <v>25.949047199999999</v>
      </c>
      <c r="H1196" s="28">
        <v>73.671818700000003</v>
      </c>
      <c r="I1196" s="28">
        <v>63.561649500000001</v>
      </c>
      <c r="J1196" s="28">
        <v>982.25997700000005</v>
      </c>
      <c r="K1196" s="28">
        <v>933.53367300000002</v>
      </c>
      <c r="L1196" s="28">
        <v>5.5876839299999999</v>
      </c>
      <c r="M1196" s="28">
        <v>125.809409</v>
      </c>
      <c r="N1196" s="28">
        <v>68.287875299999996</v>
      </c>
      <c r="O1196" s="28">
        <v>987.76833099999999</v>
      </c>
      <c r="P1196" s="28">
        <v>1012.23167</v>
      </c>
    </row>
    <row r="1197" spans="1:16" x14ac:dyDescent="0.25">
      <c r="A1197" s="40">
        <v>4</v>
      </c>
      <c r="B1197" s="40">
        <v>187</v>
      </c>
      <c r="C1197" s="28">
        <v>14.764414</v>
      </c>
      <c r="D1197" s="28">
        <v>6.6610302399999997</v>
      </c>
      <c r="E1197" s="28">
        <v>27.397485</v>
      </c>
      <c r="F1197" s="28">
        <v>25.3770661</v>
      </c>
      <c r="G1197" s="28">
        <v>25.999567599999999</v>
      </c>
      <c r="H1197" s="28">
        <v>74.555480000000003</v>
      </c>
      <c r="I1197" s="28">
        <v>63.295643900000002</v>
      </c>
      <c r="J1197" s="28">
        <v>983.56294000000003</v>
      </c>
      <c r="K1197" s="28">
        <v>932.51005999999995</v>
      </c>
      <c r="L1197" s="28">
        <v>5.6144799599999997</v>
      </c>
      <c r="M1197" s="28">
        <v>126.556952</v>
      </c>
      <c r="N1197" s="28">
        <v>68.047373699999994</v>
      </c>
      <c r="O1197" s="28">
        <v>992.50522599999999</v>
      </c>
      <c r="P1197" s="28">
        <v>1007.49477</v>
      </c>
    </row>
    <row r="1198" spans="1:16" x14ac:dyDescent="0.25">
      <c r="A1198" s="40">
        <v>4</v>
      </c>
      <c r="B1198" s="40">
        <v>188</v>
      </c>
      <c r="C1198" s="28">
        <v>14.757066</v>
      </c>
      <c r="D1198" s="28">
        <v>6.6887338300000003</v>
      </c>
      <c r="E1198" s="28">
        <v>27.154929299999999</v>
      </c>
      <c r="F1198" s="28">
        <v>25.487963799999999</v>
      </c>
      <c r="G1198" s="28">
        <v>25.8975756</v>
      </c>
      <c r="H1198" s="28">
        <v>74.082760800000003</v>
      </c>
      <c r="I1198" s="28">
        <v>63.096925200000001</v>
      </c>
      <c r="J1198" s="28">
        <v>982.44815600000004</v>
      </c>
      <c r="K1198" s="28">
        <v>931.60500100000002</v>
      </c>
      <c r="L1198" s="28">
        <v>5.7786107900000001</v>
      </c>
      <c r="M1198" s="28">
        <v>126.975837</v>
      </c>
      <c r="N1198" s="28">
        <v>68.682068599999994</v>
      </c>
      <c r="O1198" s="28">
        <v>1021.5196099999999</v>
      </c>
      <c r="P1198" s="28">
        <v>978.48038599999995</v>
      </c>
    </row>
    <row r="1199" spans="1:16" x14ac:dyDescent="0.25">
      <c r="A1199" s="40">
        <v>4</v>
      </c>
      <c r="B1199" s="40">
        <v>189</v>
      </c>
      <c r="C1199" s="28">
        <v>14.8492029</v>
      </c>
      <c r="D1199" s="28">
        <v>6.6191605600000001</v>
      </c>
      <c r="E1199" s="28">
        <v>27.094294099999999</v>
      </c>
      <c r="F1199" s="28">
        <v>25.579408099999998</v>
      </c>
      <c r="G1199" s="28">
        <v>26.097139599999998</v>
      </c>
      <c r="H1199" s="28">
        <v>73.644612199999997</v>
      </c>
      <c r="I1199" s="28">
        <v>64.066908299999994</v>
      </c>
      <c r="J1199" s="28">
        <v>983.38617699999998</v>
      </c>
      <c r="K1199" s="28">
        <v>929.96563600000002</v>
      </c>
      <c r="L1199" s="28">
        <v>5.6432580999999997</v>
      </c>
      <c r="M1199" s="28">
        <v>127.546108</v>
      </c>
      <c r="N1199" s="28">
        <v>68.3597489</v>
      </c>
      <c r="O1199" s="28">
        <v>997.59250999999995</v>
      </c>
      <c r="P1199" s="28">
        <v>1002.4074900000001</v>
      </c>
    </row>
    <row r="1200" spans="1:16" x14ac:dyDescent="0.25">
      <c r="A1200" s="40">
        <v>4</v>
      </c>
      <c r="B1200" s="40">
        <v>190</v>
      </c>
      <c r="C1200" s="28">
        <v>14.9851422</v>
      </c>
      <c r="D1200" s="28">
        <v>6.6248178800000002</v>
      </c>
      <c r="E1200" s="28">
        <v>26.941534600000001</v>
      </c>
      <c r="F1200" s="28">
        <v>25.629262300000001</v>
      </c>
      <c r="G1200" s="28">
        <v>26.393515699999998</v>
      </c>
      <c r="H1200" s="28">
        <v>73.429198200000002</v>
      </c>
      <c r="I1200" s="28">
        <v>64.8572506</v>
      </c>
      <c r="J1200" s="28">
        <v>982.67269399999998</v>
      </c>
      <c r="K1200" s="28">
        <v>934.67016799999999</v>
      </c>
      <c r="L1200" s="28">
        <v>5.6060444499999997</v>
      </c>
      <c r="M1200" s="28">
        <v>128.34756300000001</v>
      </c>
      <c r="N1200" s="28">
        <v>68.800045499999996</v>
      </c>
      <c r="O1200" s="28">
        <v>991.01402900000005</v>
      </c>
      <c r="P1200" s="28">
        <v>1008.98597</v>
      </c>
    </row>
    <row r="1201" spans="1:16" x14ac:dyDescent="0.25">
      <c r="A1201" s="40">
        <v>4</v>
      </c>
      <c r="B1201" s="40">
        <v>191</v>
      </c>
      <c r="C1201" s="28">
        <v>15.227672800000001</v>
      </c>
      <c r="D1201" s="28">
        <v>6.6717834399999996</v>
      </c>
      <c r="E1201" s="28">
        <v>26.963875099999999</v>
      </c>
      <c r="F1201" s="28">
        <v>25.858012800000001</v>
      </c>
      <c r="G1201" s="28">
        <v>26.744174999999998</v>
      </c>
      <c r="H1201" s="28">
        <v>74.371413899999993</v>
      </c>
      <c r="I1201" s="28">
        <v>66.336721100000005</v>
      </c>
      <c r="J1201" s="28">
        <v>984.01827900000001</v>
      </c>
      <c r="K1201" s="28">
        <v>940.94631600000002</v>
      </c>
      <c r="L1201" s="28">
        <v>5.7797742400000001</v>
      </c>
      <c r="M1201" s="28">
        <v>129.915571</v>
      </c>
      <c r="N1201" s="28">
        <v>69.1184291</v>
      </c>
      <c r="O1201" s="28">
        <v>1021.72528</v>
      </c>
      <c r="P1201" s="28">
        <v>978.27471500000001</v>
      </c>
    </row>
    <row r="1202" spans="1:16" x14ac:dyDescent="0.25">
      <c r="A1202" s="40">
        <v>4</v>
      </c>
      <c r="B1202" s="40">
        <v>192</v>
      </c>
      <c r="C1202" s="28">
        <v>15.1823911</v>
      </c>
      <c r="D1202" s="28">
        <v>6.62799783</v>
      </c>
      <c r="E1202" s="28">
        <v>26.975770900000001</v>
      </c>
      <c r="F1202" s="28">
        <v>25.421947800000002</v>
      </c>
      <c r="G1202" s="28">
        <v>26.274378599999999</v>
      </c>
      <c r="H1202" s="28">
        <v>72.761499999999998</v>
      </c>
      <c r="I1202" s="28">
        <v>65.720488399999994</v>
      </c>
      <c r="J1202" s="28">
        <v>983.88259300000004</v>
      </c>
      <c r="K1202" s="28">
        <v>945.24468999999999</v>
      </c>
      <c r="L1202" s="28">
        <v>5.6479488800000004</v>
      </c>
      <c r="M1202" s="28">
        <v>128.26786999999999</v>
      </c>
      <c r="N1202" s="28">
        <v>68.129480999999998</v>
      </c>
      <c r="O1202" s="28">
        <v>998.42172700000003</v>
      </c>
      <c r="P1202" s="28">
        <v>1001.57827</v>
      </c>
    </row>
    <row r="1203" spans="1:16" x14ac:dyDescent="0.25">
      <c r="A1203" s="40">
        <v>4</v>
      </c>
      <c r="B1203" s="40">
        <v>193</v>
      </c>
      <c r="C1203" s="28">
        <v>15.215769</v>
      </c>
      <c r="D1203" s="28">
        <v>6.6541165600000003</v>
      </c>
      <c r="E1203" s="28">
        <v>27.228304999999999</v>
      </c>
      <c r="F1203" s="28">
        <v>25.426914100000001</v>
      </c>
      <c r="G1203" s="28">
        <v>26.550877</v>
      </c>
      <c r="H1203" s="28">
        <v>72.092247599999993</v>
      </c>
      <c r="I1203" s="28">
        <v>66.427789099999998</v>
      </c>
      <c r="J1203" s="28">
        <v>984.27912900000001</v>
      </c>
      <c r="K1203" s="28">
        <v>939.22300299999995</v>
      </c>
      <c r="L1203" s="28">
        <v>5.6799903199999999</v>
      </c>
      <c r="M1203" s="28">
        <v>128.52651299999999</v>
      </c>
      <c r="N1203" s="28">
        <v>68.335392900000002</v>
      </c>
      <c r="O1203" s="28">
        <v>1004.08588</v>
      </c>
      <c r="P1203" s="28">
        <v>995.91411600000004</v>
      </c>
    </row>
    <row r="1204" spans="1:16" x14ac:dyDescent="0.25">
      <c r="A1204" s="40">
        <v>4</v>
      </c>
      <c r="B1204" s="40">
        <v>194</v>
      </c>
      <c r="C1204" s="28">
        <v>15.2367521</v>
      </c>
      <c r="D1204" s="28">
        <v>6.6755218899999997</v>
      </c>
      <c r="E1204" s="28">
        <v>27.096867799999998</v>
      </c>
      <c r="F1204" s="28">
        <v>25.179433599999999</v>
      </c>
      <c r="G1204" s="28">
        <v>26.732790900000001</v>
      </c>
      <c r="H1204" s="28">
        <v>73.230735499999994</v>
      </c>
      <c r="I1204" s="28">
        <v>67.279350699999995</v>
      </c>
      <c r="J1204" s="28">
        <v>983.89498300000002</v>
      </c>
      <c r="K1204" s="28">
        <v>942.25091499999996</v>
      </c>
      <c r="L1204" s="28">
        <v>5.7025128399999998</v>
      </c>
      <c r="M1204" s="28">
        <v>129.07608500000001</v>
      </c>
      <c r="N1204" s="28">
        <v>68.7274666</v>
      </c>
      <c r="O1204" s="28">
        <v>1008.06732</v>
      </c>
      <c r="P1204" s="28">
        <v>991.93267500000002</v>
      </c>
    </row>
    <row r="1205" spans="1:16" x14ac:dyDescent="0.25">
      <c r="A1205" s="40">
        <v>4</v>
      </c>
      <c r="B1205" s="40">
        <v>195</v>
      </c>
      <c r="C1205" s="28">
        <v>15.435653200000001</v>
      </c>
      <c r="D1205" s="28">
        <v>6.6638731800000004</v>
      </c>
      <c r="E1205" s="28">
        <v>27.173281200000002</v>
      </c>
      <c r="F1205" s="28">
        <v>25.140469700000001</v>
      </c>
      <c r="G1205" s="28">
        <v>26.967038299999999</v>
      </c>
      <c r="H1205" s="28">
        <v>73.655870500000006</v>
      </c>
      <c r="I1205" s="28">
        <v>66.655936299999993</v>
      </c>
      <c r="J1205" s="28">
        <v>985.81815500000005</v>
      </c>
      <c r="K1205" s="28">
        <v>945.24903600000005</v>
      </c>
      <c r="L1205" s="28">
        <v>5.6766387500000004</v>
      </c>
      <c r="M1205" s="28">
        <v>128.99112099999999</v>
      </c>
      <c r="N1205" s="28">
        <v>69.289921199999995</v>
      </c>
      <c r="O1205" s="28">
        <v>1003.49341</v>
      </c>
      <c r="P1205" s="28">
        <v>996.50659199999996</v>
      </c>
    </row>
    <row r="1206" spans="1:16" x14ac:dyDescent="0.25">
      <c r="A1206" s="40">
        <v>4</v>
      </c>
      <c r="B1206" s="40">
        <v>196</v>
      </c>
      <c r="C1206" s="28">
        <v>15.527676700000001</v>
      </c>
      <c r="D1206" s="28">
        <v>6.6712747700000001</v>
      </c>
      <c r="E1206" s="28">
        <v>27.213903299999998</v>
      </c>
      <c r="F1206" s="28">
        <v>25.438897600000001</v>
      </c>
      <c r="G1206" s="28">
        <v>26.842659600000001</v>
      </c>
      <c r="H1206" s="28">
        <v>75.5624143</v>
      </c>
      <c r="I1206" s="28">
        <v>66.812406699999997</v>
      </c>
      <c r="J1206" s="28">
        <v>985.50818700000002</v>
      </c>
      <c r="K1206" s="28">
        <v>941.36816999999996</v>
      </c>
      <c r="L1206" s="28">
        <v>5.6365057299999997</v>
      </c>
      <c r="M1206" s="28">
        <v>129.866332</v>
      </c>
      <c r="N1206" s="28">
        <v>69.059402599999999</v>
      </c>
      <c r="O1206" s="28">
        <v>996.39885400000003</v>
      </c>
      <c r="P1206" s="28">
        <v>1003.60115</v>
      </c>
    </row>
    <row r="1207" spans="1:16" x14ac:dyDescent="0.25">
      <c r="A1207" s="40">
        <v>4</v>
      </c>
      <c r="B1207" s="40">
        <v>197</v>
      </c>
      <c r="C1207" s="28">
        <v>15.559639000000001</v>
      </c>
      <c r="D1207" s="28">
        <v>6.6553200800000001</v>
      </c>
      <c r="E1207" s="28">
        <v>27.0594164</v>
      </c>
      <c r="F1207" s="28">
        <v>25.453018499999999</v>
      </c>
      <c r="G1207" s="28">
        <v>27.179602500000001</v>
      </c>
      <c r="H1207" s="28">
        <v>75.594118499999993</v>
      </c>
      <c r="I1207" s="28">
        <v>67.8201459</v>
      </c>
      <c r="J1207" s="28">
        <v>985.93755599999997</v>
      </c>
      <c r="K1207" s="28">
        <v>943.530528</v>
      </c>
      <c r="L1207" s="28">
        <v>5.6719247800000003</v>
      </c>
      <c r="M1207" s="28">
        <v>130.32750999999999</v>
      </c>
      <c r="N1207" s="28">
        <v>70.861383099999998</v>
      </c>
      <c r="O1207" s="28">
        <v>1002.66009</v>
      </c>
      <c r="P1207" s="28">
        <v>997.33990900000003</v>
      </c>
    </row>
    <row r="1208" spans="1:16" x14ac:dyDescent="0.25">
      <c r="A1208" s="40">
        <v>4</v>
      </c>
      <c r="B1208" s="40">
        <v>198</v>
      </c>
      <c r="C1208" s="28">
        <v>15.4846769</v>
      </c>
      <c r="D1208" s="28">
        <v>6.6274365099999999</v>
      </c>
      <c r="E1208" s="28">
        <v>27.539236200000001</v>
      </c>
      <c r="F1208" s="28">
        <v>25.4974557</v>
      </c>
      <c r="G1208" s="28">
        <v>27.069241300000002</v>
      </c>
      <c r="H1208" s="28">
        <v>75.659991599999998</v>
      </c>
      <c r="I1208" s="28">
        <v>67.6279021</v>
      </c>
      <c r="J1208" s="28">
        <v>984.77834900000005</v>
      </c>
      <c r="K1208" s="28">
        <v>947.62222499999996</v>
      </c>
      <c r="L1208" s="28">
        <v>5.7378678399999998</v>
      </c>
      <c r="M1208" s="28">
        <v>130.55045100000001</v>
      </c>
      <c r="N1208" s="28">
        <v>71.7435306</v>
      </c>
      <c r="O1208" s="28">
        <v>1014.31724</v>
      </c>
      <c r="P1208" s="28">
        <v>985.68276100000003</v>
      </c>
    </row>
    <row r="1209" spans="1:16" x14ac:dyDescent="0.25">
      <c r="A1209" s="40">
        <v>4</v>
      </c>
      <c r="B1209" s="40">
        <v>199</v>
      </c>
      <c r="C1209" s="28">
        <v>15.488844800000001</v>
      </c>
      <c r="D1209" s="28">
        <v>6.6390116199999998</v>
      </c>
      <c r="E1209" s="28">
        <v>27.746731700000002</v>
      </c>
      <c r="F1209" s="28">
        <v>25.521259499999999</v>
      </c>
      <c r="G1209" s="28">
        <v>27.224815599999999</v>
      </c>
      <c r="H1209" s="28">
        <v>77.002956299999994</v>
      </c>
      <c r="I1209" s="28">
        <v>68.469469000000004</v>
      </c>
      <c r="J1209" s="28">
        <v>985.43152299999997</v>
      </c>
      <c r="K1209" s="28">
        <v>952.17878399999995</v>
      </c>
      <c r="L1209" s="28">
        <v>5.7493150599999998</v>
      </c>
      <c r="M1209" s="28">
        <v>131.70234600000001</v>
      </c>
      <c r="N1209" s="28">
        <v>72.429873499999999</v>
      </c>
      <c r="O1209" s="28">
        <v>1016.34083</v>
      </c>
      <c r="P1209" s="28">
        <v>983.65916700000002</v>
      </c>
    </row>
    <row r="1210" spans="1:16" x14ac:dyDescent="0.25">
      <c r="A1210" s="40">
        <v>4</v>
      </c>
      <c r="B1210" s="40">
        <v>200</v>
      </c>
      <c r="C1210" s="28">
        <v>15.4584286</v>
      </c>
      <c r="D1210" s="28">
        <v>6.6959849</v>
      </c>
      <c r="E1210" s="28">
        <v>28.062331400000001</v>
      </c>
      <c r="F1210" s="28">
        <v>25.5340566</v>
      </c>
      <c r="G1210" s="28">
        <v>27.430012699999999</v>
      </c>
      <c r="H1210" s="28">
        <v>77.548139800000001</v>
      </c>
      <c r="I1210" s="28">
        <v>68.241422999999998</v>
      </c>
      <c r="J1210" s="28">
        <v>984.33672300000001</v>
      </c>
      <c r="K1210" s="28">
        <v>954.10289699999998</v>
      </c>
      <c r="L1210" s="28">
        <v>5.81763516</v>
      </c>
      <c r="M1210" s="28">
        <v>132.60060999999999</v>
      </c>
      <c r="N1210" s="28">
        <v>72.454173699999998</v>
      </c>
      <c r="O1210" s="28">
        <v>1028.4181900000001</v>
      </c>
      <c r="P1210" s="28">
        <v>971.58181300000001</v>
      </c>
    </row>
    <row r="1211" spans="1:16" x14ac:dyDescent="0.25">
      <c r="A1211" s="40">
        <v>4</v>
      </c>
      <c r="B1211" s="40">
        <v>201</v>
      </c>
      <c r="C1211" s="28">
        <v>15.5480401</v>
      </c>
      <c r="D1211" s="28">
        <v>6.6980772399999999</v>
      </c>
      <c r="E1211" s="28">
        <v>28.182827199999998</v>
      </c>
      <c r="F1211" s="28">
        <v>25.304700700000001</v>
      </c>
      <c r="G1211" s="28">
        <v>27.630474899999999</v>
      </c>
      <c r="H1211" s="28">
        <v>78.116409099999998</v>
      </c>
      <c r="I1211" s="28">
        <v>68.371053500000002</v>
      </c>
      <c r="J1211" s="28">
        <v>985.83377900000005</v>
      </c>
      <c r="K1211" s="28">
        <v>959.186466</v>
      </c>
      <c r="L1211" s="28">
        <v>5.6925299499999999</v>
      </c>
      <c r="M1211" s="28">
        <v>132.52116799999999</v>
      </c>
      <c r="N1211" s="28">
        <v>72.135160200000001</v>
      </c>
      <c r="O1211" s="28">
        <v>1006.30259</v>
      </c>
      <c r="P1211" s="28">
        <v>993.69741099999999</v>
      </c>
    </row>
    <row r="1212" spans="1:16" x14ac:dyDescent="0.25">
      <c r="A1212" s="40">
        <v>4</v>
      </c>
      <c r="B1212" s="40">
        <v>202</v>
      </c>
      <c r="C1212" s="28">
        <v>15.5342401</v>
      </c>
      <c r="D1212" s="28">
        <v>6.7658648100000001</v>
      </c>
      <c r="E1212" s="28">
        <v>28.391988600000001</v>
      </c>
      <c r="F1212" s="28">
        <v>25.490758499999998</v>
      </c>
      <c r="G1212" s="28">
        <v>27.516127300000001</v>
      </c>
      <c r="H1212" s="28">
        <v>77.871482499999999</v>
      </c>
      <c r="I1212" s="28">
        <v>68.718666299999995</v>
      </c>
      <c r="J1212" s="28">
        <v>984.58511199999998</v>
      </c>
      <c r="K1212" s="28">
        <v>956.23642600000005</v>
      </c>
      <c r="L1212" s="28">
        <v>5.7975076799999998</v>
      </c>
      <c r="M1212" s="28">
        <v>132.86597</v>
      </c>
      <c r="N1212" s="28">
        <v>72.938874400000003</v>
      </c>
      <c r="O1212" s="28">
        <v>1024.86013</v>
      </c>
      <c r="P1212" s="28">
        <v>975.13986799999998</v>
      </c>
    </row>
    <row r="1213" spans="1:16" x14ac:dyDescent="0.25">
      <c r="A1213" s="40">
        <v>4</v>
      </c>
      <c r="B1213" s="40">
        <v>203</v>
      </c>
      <c r="C1213" s="28">
        <v>15.387747900000001</v>
      </c>
      <c r="D1213" s="28">
        <v>6.7198137100000004</v>
      </c>
      <c r="E1213" s="28">
        <v>28.612295</v>
      </c>
      <c r="F1213" s="28">
        <v>25.5711987</v>
      </c>
      <c r="G1213" s="28">
        <v>27.442149499999999</v>
      </c>
      <c r="H1213" s="28">
        <v>78.284629300000006</v>
      </c>
      <c r="I1213" s="28">
        <v>68.281192599999997</v>
      </c>
      <c r="J1213" s="28">
        <v>984.64917700000001</v>
      </c>
      <c r="K1213" s="28">
        <v>960.16779399999996</v>
      </c>
      <c r="L1213" s="28">
        <v>5.8334456000000001</v>
      </c>
      <c r="M1213" s="28">
        <v>132.71845300000001</v>
      </c>
      <c r="N1213" s="28">
        <v>73.759627499999993</v>
      </c>
      <c r="O1213" s="28">
        <v>1031.21309</v>
      </c>
      <c r="P1213" s="28">
        <v>968.78690700000004</v>
      </c>
    </row>
    <row r="1214" spans="1:16" x14ac:dyDescent="0.25">
      <c r="A1214" s="40">
        <v>4</v>
      </c>
      <c r="B1214" s="40">
        <v>204</v>
      </c>
      <c r="C1214" s="28">
        <v>15.452068499999999</v>
      </c>
      <c r="D1214" s="28">
        <v>6.7527000099999999</v>
      </c>
      <c r="E1214" s="28">
        <v>28.3251016</v>
      </c>
      <c r="F1214" s="28">
        <v>25.4188717</v>
      </c>
      <c r="G1214" s="28">
        <v>27.369336199999999</v>
      </c>
      <c r="H1214" s="28">
        <v>78.560027199999993</v>
      </c>
      <c r="I1214" s="28">
        <v>68.810366200000004</v>
      </c>
      <c r="J1214" s="28">
        <v>984.62560299999996</v>
      </c>
      <c r="K1214" s="28">
        <v>957.40385600000002</v>
      </c>
      <c r="L1214" s="28">
        <v>5.7836805</v>
      </c>
      <c r="M1214" s="28">
        <v>133.16917100000001</v>
      </c>
      <c r="N1214" s="28">
        <v>74.904533599999993</v>
      </c>
      <c r="O1214" s="28">
        <v>1022.4158200000001</v>
      </c>
      <c r="P1214" s="28">
        <v>977.58418200000006</v>
      </c>
    </row>
    <row r="1215" spans="1:16" x14ac:dyDescent="0.25">
      <c r="A1215" s="40">
        <v>4</v>
      </c>
      <c r="B1215" s="40">
        <v>205</v>
      </c>
      <c r="C1215" s="28">
        <v>15.4507481</v>
      </c>
      <c r="D1215" s="28">
        <v>6.7375070099999999</v>
      </c>
      <c r="E1215" s="28">
        <v>28.367087999999999</v>
      </c>
      <c r="F1215" s="28">
        <v>25.167485500000002</v>
      </c>
      <c r="G1215" s="28">
        <v>27.363490800000001</v>
      </c>
      <c r="H1215" s="28">
        <v>78.037199999999999</v>
      </c>
      <c r="I1215" s="28">
        <v>69.162721500000004</v>
      </c>
      <c r="J1215" s="28">
        <v>985.61300700000004</v>
      </c>
      <c r="K1215" s="28">
        <v>948.93884700000001</v>
      </c>
      <c r="L1215" s="28">
        <v>5.7520894699999996</v>
      </c>
      <c r="M1215" s="28">
        <v>133.62426600000001</v>
      </c>
      <c r="N1215" s="28">
        <v>75.236064999999996</v>
      </c>
      <c r="O1215" s="28">
        <v>1016.83128</v>
      </c>
      <c r="P1215" s="28">
        <v>983.16871700000002</v>
      </c>
    </row>
    <row r="1216" spans="1:16" x14ac:dyDescent="0.25">
      <c r="A1216" s="40">
        <v>4</v>
      </c>
      <c r="B1216" s="40">
        <v>206</v>
      </c>
      <c r="C1216" s="28">
        <v>15.6385703</v>
      </c>
      <c r="D1216" s="28">
        <v>6.7742853399999996</v>
      </c>
      <c r="E1216" s="28">
        <v>28.248411300000001</v>
      </c>
      <c r="F1216" s="28">
        <v>25.143034400000001</v>
      </c>
      <c r="G1216" s="28">
        <v>27.6831277</v>
      </c>
      <c r="H1216" s="28">
        <v>79.190638699999994</v>
      </c>
      <c r="I1216" s="28">
        <v>70.561934199999996</v>
      </c>
      <c r="J1216" s="28">
        <v>985.63247999999999</v>
      </c>
      <c r="K1216" s="28">
        <v>949.88043800000003</v>
      </c>
      <c r="L1216" s="28">
        <v>5.7015941400000001</v>
      </c>
      <c r="M1216" s="28">
        <v>134.78556499999999</v>
      </c>
      <c r="N1216" s="28">
        <v>75.018454599999998</v>
      </c>
      <c r="O1216" s="28">
        <v>1007.9049199999999</v>
      </c>
      <c r="P1216" s="28">
        <v>992.09507900000006</v>
      </c>
    </row>
    <row r="1217" spans="1:16" x14ac:dyDescent="0.25">
      <c r="A1217" s="40">
        <v>4</v>
      </c>
      <c r="B1217" s="40">
        <v>207</v>
      </c>
      <c r="C1217" s="28">
        <v>15.586089100000001</v>
      </c>
      <c r="D1217" s="28">
        <v>6.7610889700000003</v>
      </c>
      <c r="E1217" s="28">
        <v>28.5434196</v>
      </c>
      <c r="F1217" s="28">
        <v>25.174947800000002</v>
      </c>
      <c r="G1217" s="28">
        <v>27.8491122</v>
      </c>
      <c r="H1217" s="28">
        <v>79.495178600000003</v>
      </c>
      <c r="I1217" s="28">
        <v>70.713270300000005</v>
      </c>
      <c r="J1217" s="28">
        <v>985.839249</v>
      </c>
      <c r="K1217" s="28">
        <v>945.33302500000002</v>
      </c>
      <c r="L1217" s="28">
        <v>5.6964526199999996</v>
      </c>
      <c r="M1217" s="28">
        <v>135.140973</v>
      </c>
      <c r="N1217" s="28">
        <v>73.072259599999995</v>
      </c>
      <c r="O1217" s="28">
        <v>1006.99602</v>
      </c>
      <c r="P1217" s="28">
        <v>993.00397599999997</v>
      </c>
    </row>
    <row r="1218" spans="1:16" x14ac:dyDescent="0.25">
      <c r="A1218" s="40">
        <v>4</v>
      </c>
      <c r="B1218" s="40">
        <v>208</v>
      </c>
      <c r="C1218" s="28">
        <v>15.625553399999999</v>
      </c>
      <c r="D1218" s="28">
        <v>6.7771737300000003</v>
      </c>
      <c r="E1218" s="28">
        <v>28.470567299999999</v>
      </c>
      <c r="F1218" s="28">
        <v>25.047501400000002</v>
      </c>
      <c r="G1218" s="28">
        <v>27.804180599999999</v>
      </c>
      <c r="H1218" s="28">
        <v>80.080046800000005</v>
      </c>
      <c r="I1218" s="28">
        <v>69.947895099999997</v>
      </c>
      <c r="J1218" s="28">
        <v>986.03721499999995</v>
      </c>
      <c r="K1218" s="28">
        <v>941.18902400000002</v>
      </c>
      <c r="L1218" s="28">
        <v>5.7656558699999998</v>
      </c>
      <c r="M1218" s="28">
        <v>135.043914</v>
      </c>
      <c r="N1218" s="28">
        <v>71.404997600000002</v>
      </c>
      <c r="O1218" s="28">
        <v>1019.2295</v>
      </c>
      <c r="P1218" s="28">
        <v>980.77050399999996</v>
      </c>
    </row>
    <row r="1219" spans="1:16" x14ac:dyDescent="0.25">
      <c r="A1219" s="40">
        <v>4</v>
      </c>
      <c r="B1219" s="40">
        <v>209</v>
      </c>
      <c r="C1219" s="28">
        <v>15.7237665</v>
      </c>
      <c r="D1219" s="28">
        <v>6.8044461900000002</v>
      </c>
      <c r="E1219" s="28">
        <v>28.700530799999999</v>
      </c>
      <c r="F1219" s="28">
        <v>24.939761900000001</v>
      </c>
      <c r="G1219" s="28">
        <v>27.955233</v>
      </c>
      <c r="H1219" s="28">
        <v>80.549643900000007</v>
      </c>
      <c r="I1219" s="28">
        <v>70.640763800000002</v>
      </c>
      <c r="J1219" s="28">
        <v>987.19016999999997</v>
      </c>
      <c r="K1219" s="28">
        <v>943.17237</v>
      </c>
      <c r="L1219" s="28">
        <v>5.8341975399999999</v>
      </c>
      <c r="M1219" s="28">
        <v>135.40458100000001</v>
      </c>
      <c r="N1219" s="28">
        <v>71.963184499999997</v>
      </c>
      <c r="O1219" s="28">
        <v>1031.34602</v>
      </c>
      <c r="P1219" s="28">
        <v>968.65398200000004</v>
      </c>
    </row>
    <row r="1220" spans="1:16" x14ac:dyDescent="0.25">
      <c r="A1220" s="40">
        <v>4</v>
      </c>
      <c r="B1220" s="40">
        <v>210</v>
      </c>
      <c r="C1220" s="28">
        <v>15.682063100000001</v>
      </c>
      <c r="D1220" s="28">
        <v>6.8360014800000002</v>
      </c>
      <c r="E1220" s="28">
        <v>28.611516099999999</v>
      </c>
      <c r="F1220" s="28">
        <v>24.726588499999998</v>
      </c>
      <c r="G1220" s="28">
        <v>27.677050900000001</v>
      </c>
      <c r="H1220" s="28">
        <v>79.914709200000004</v>
      </c>
      <c r="I1220" s="28">
        <v>70.162046900000007</v>
      </c>
      <c r="J1220" s="28">
        <v>987.02407900000003</v>
      </c>
      <c r="K1220" s="28">
        <v>935.80657199999996</v>
      </c>
      <c r="L1220" s="28">
        <v>5.8685531299999996</v>
      </c>
      <c r="M1220" s="28">
        <v>134.51662899999999</v>
      </c>
      <c r="N1220" s="28">
        <v>72.804334600000004</v>
      </c>
      <c r="O1220" s="28">
        <v>1037.4192599999999</v>
      </c>
      <c r="P1220" s="28">
        <v>962.58073999999999</v>
      </c>
    </row>
    <row r="1221" spans="1:16" x14ac:dyDescent="0.25">
      <c r="A1221" s="40">
        <v>4</v>
      </c>
      <c r="B1221" s="40">
        <v>211</v>
      </c>
      <c r="C1221" s="28">
        <v>15.728930399999999</v>
      </c>
      <c r="D1221" s="28">
        <v>6.8557598500000001</v>
      </c>
      <c r="E1221" s="28">
        <v>28.561127599999999</v>
      </c>
      <c r="F1221" s="28">
        <v>25.022950600000001</v>
      </c>
      <c r="G1221" s="28">
        <v>27.7235345</v>
      </c>
      <c r="H1221" s="28">
        <v>78.867913400000006</v>
      </c>
      <c r="I1221" s="28">
        <v>71.164335399999999</v>
      </c>
      <c r="J1221" s="28">
        <v>986.92505700000004</v>
      </c>
      <c r="K1221" s="28">
        <v>940.77438199999995</v>
      </c>
      <c r="L1221" s="28">
        <v>5.8035212500000002</v>
      </c>
      <c r="M1221" s="28">
        <v>134.95903799999999</v>
      </c>
      <c r="N1221" s="28">
        <v>71.186883199999997</v>
      </c>
      <c r="O1221" s="28">
        <v>1025.92319</v>
      </c>
      <c r="P1221" s="28">
        <v>974.07681300000002</v>
      </c>
    </row>
    <row r="1222" spans="1:16" x14ac:dyDescent="0.25">
      <c r="A1222" s="40">
        <v>4</v>
      </c>
      <c r="B1222" s="40">
        <v>212</v>
      </c>
      <c r="C1222" s="28">
        <v>15.793215200000001</v>
      </c>
      <c r="D1222" s="28">
        <v>6.8667295299999997</v>
      </c>
      <c r="E1222" s="28">
        <v>28.400495100000001</v>
      </c>
      <c r="F1222" s="28">
        <v>24.752407900000001</v>
      </c>
      <c r="G1222" s="28">
        <v>27.4987943</v>
      </c>
      <c r="H1222" s="28">
        <v>78.470606599999996</v>
      </c>
      <c r="I1222" s="28">
        <v>69.778361599999997</v>
      </c>
      <c r="J1222" s="28">
        <v>987.70811100000003</v>
      </c>
      <c r="K1222" s="28">
        <v>938.46080199999994</v>
      </c>
      <c r="L1222" s="28">
        <v>5.8588792099999996</v>
      </c>
      <c r="M1222" s="28">
        <v>134.15994599999999</v>
      </c>
      <c r="N1222" s="28">
        <v>70.549025</v>
      </c>
      <c r="O1222" s="28">
        <v>1035.7091399999999</v>
      </c>
      <c r="P1222" s="28">
        <v>964.29085499999997</v>
      </c>
    </row>
    <row r="1223" spans="1:16" x14ac:dyDescent="0.25">
      <c r="A1223" s="40">
        <v>4</v>
      </c>
      <c r="B1223" s="40">
        <v>213</v>
      </c>
      <c r="C1223" s="28">
        <v>15.836050500000001</v>
      </c>
      <c r="D1223" s="28">
        <v>6.8481979600000003</v>
      </c>
      <c r="E1223" s="28">
        <v>28.154136399999999</v>
      </c>
      <c r="F1223" s="28">
        <v>24.740312899999999</v>
      </c>
      <c r="G1223" s="28">
        <v>27.603431100000002</v>
      </c>
      <c r="H1223" s="28">
        <v>79.0780338</v>
      </c>
      <c r="I1223" s="28">
        <v>69.333176699999996</v>
      </c>
      <c r="J1223" s="28">
        <v>988.75707399999999</v>
      </c>
      <c r="K1223" s="28">
        <v>941.73534299999994</v>
      </c>
      <c r="L1223" s="28">
        <v>5.8679690999999998</v>
      </c>
      <c r="M1223" s="28">
        <v>134.45957899999999</v>
      </c>
      <c r="N1223" s="28">
        <v>70.409627599999993</v>
      </c>
      <c r="O1223" s="28">
        <v>1037.31602</v>
      </c>
      <c r="P1223" s="28">
        <v>962.68398300000001</v>
      </c>
    </row>
    <row r="1224" spans="1:16" x14ac:dyDescent="0.25">
      <c r="A1224" s="40">
        <v>4</v>
      </c>
      <c r="B1224" s="40">
        <v>214</v>
      </c>
      <c r="C1224" s="28">
        <v>15.712173200000001</v>
      </c>
      <c r="D1224" s="28">
        <v>6.7961880700000004</v>
      </c>
      <c r="E1224" s="28">
        <v>27.909385700000001</v>
      </c>
      <c r="F1224" s="28">
        <v>24.513921700000001</v>
      </c>
      <c r="G1224" s="28">
        <v>27.445456499999999</v>
      </c>
      <c r="H1224" s="28">
        <v>80.581350499999999</v>
      </c>
      <c r="I1224" s="28">
        <v>69.506354000000002</v>
      </c>
      <c r="J1224" s="28">
        <v>988.63245400000005</v>
      </c>
      <c r="K1224" s="28">
        <v>939.12482799999998</v>
      </c>
      <c r="L1224" s="28">
        <v>5.8987882000000003</v>
      </c>
      <c r="M1224" s="28">
        <v>134.13459700000001</v>
      </c>
      <c r="N1224" s="28">
        <v>70.065390199999996</v>
      </c>
      <c r="O1224" s="28">
        <v>1042.7641000000001</v>
      </c>
      <c r="P1224" s="28">
        <v>957.235904</v>
      </c>
    </row>
    <row r="1225" spans="1:16" x14ac:dyDescent="0.25">
      <c r="A1225" s="40">
        <v>4</v>
      </c>
      <c r="B1225" s="40">
        <v>215</v>
      </c>
      <c r="C1225" s="28">
        <v>15.686704600000001</v>
      </c>
      <c r="D1225" s="28">
        <v>6.7610047199999999</v>
      </c>
      <c r="E1225" s="28">
        <v>28.112239899999999</v>
      </c>
      <c r="F1225" s="28">
        <v>24.259675300000001</v>
      </c>
      <c r="G1225" s="28">
        <v>27.251510799999998</v>
      </c>
      <c r="H1225" s="28">
        <v>80.050918100000004</v>
      </c>
      <c r="I1225" s="28">
        <v>70.057887899999997</v>
      </c>
      <c r="J1225" s="28">
        <v>989.47279600000002</v>
      </c>
      <c r="K1225" s="28">
        <v>935.26689299999998</v>
      </c>
      <c r="L1225" s="28">
        <v>5.9044088700000001</v>
      </c>
      <c r="M1225" s="28">
        <v>134.33540500000001</v>
      </c>
      <c r="N1225" s="28">
        <v>71.051420100000001</v>
      </c>
      <c r="O1225" s="28">
        <v>1043.7576899999999</v>
      </c>
      <c r="P1225" s="28">
        <v>956.24230599999999</v>
      </c>
    </row>
    <row r="1226" spans="1:16" x14ac:dyDescent="0.25">
      <c r="A1226" s="40">
        <v>4</v>
      </c>
      <c r="B1226" s="40">
        <v>216</v>
      </c>
      <c r="C1226" s="28">
        <v>15.677901800000001</v>
      </c>
      <c r="D1226" s="28">
        <v>6.7908306600000001</v>
      </c>
      <c r="E1226" s="28">
        <v>28.316592499999999</v>
      </c>
      <c r="F1226" s="28">
        <v>24.6333707</v>
      </c>
      <c r="G1226" s="28">
        <v>26.873677099999998</v>
      </c>
      <c r="H1226" s="28">
        <v>79.274420500000005</v>
      </c>
      <c r="I1226" s="28">
        <v>68.955715900000001</v>
      </c>
      <c r="J1226" s="28">
        <v>988.69822899999997</v>
      </c>
      <c r="K1226" s="28">
        <v>933.84037000000001</v>
      </c>
      <c r="L1226" s="28">
        <v>5.8320721000000004</v>
      </c>
      <c r="M1226" s="28">
        <v>133.85527400000001</v>
      </c>
      <c r="N1226" s="28">
        <v>70.129971600000005</v>
      </c>
      <c r="O1226" s="28">
        <v>1030.97029</v>
      </c>
      <c r="P1226" s="28">
        <v>969.02971000000002</v>
      </c>
    </row>
    <row r="1227" spans="1:16" x14ac:dyDescent="0.25">
      <c r="A1227" s="40">
        <v>4</v>
      </c>
      <c r="B1227" s="40">
        <v>217</v>
      </c>
      <c r="C1227" s="28">
        <v>15.6007658</v>
      </c>
      <c r="D1227" s="28">
        <v>6.7644295000000003</v>
      </c>
      <c r="E1227" s="28">
        <v>28.003979600000001</v>
      </c>
      <c r="F1227" s="28">
        <v>24.3757637</v>
      </c>
      <c r="G1227" s="28">
        <v>26.552134800000001</v>
      </c>
      <c r="H1227" s="28">
        <v>78.660656399999993</v>
      </c>
      <c r="I1227" s="28">
        <v>67.605117199999995</v>
      </c>
      <c r="J1227" s="28">
        <v>989.88142500000004</v>
      </c>
      <c r="K1227" s="28">
        <v>934.43424700000003</v>
      </c>
      <c r="L1227" s="28">
        <v>5.8101236299999997</v>
      </c>
      <c r="M1227" s="28">
        <v>132.58768900000001</v>
      </c>
      <c r="N1227" s="28">
        <v>70.807303500000003</v>
      </c>
      <c r="O1227" s="28">
        <v>1027.09033</v>
      </c>
      <c r="P1227" s="28">
        <v>972.909673</v>
      </c>
    </row>
    <row r="1228" spans="1:16" x14ac:dyDescent="0.25">
      <c r="A1228" s="40">
        <v>4</v>
      </c>
      <c r="B1228" s="40">
        <v>218</v>
      </c>
      <c r="C1228" s="28">
        <v>15.696491</v>
      </c>
      <c r="D1228" s="28">
        <v>6.7659751000000004</v>
      </c>
      <c r="E1228" s="28">
        <v>28.126519699999999</v>
      </c>
      <c r="F1228" s="28">
        <v>24.266974399999999</v>
      </c>
      <c r="G1228" s="28">
        <v>26.380946300000002</v>
      </c>
      <c r="H1228" s="28">
        <v>78.762978200000006</v>
      </c>
      <c r="I1228" s="28">
        <v>66.816199400000002</v>
      </c>
      <c r="J1228" s="28">
        <v>990.549801</v>
      </c>
      <c r="K1228" s="28">
        <v>935.55893700000001</v>
      </c>
      <c r="L1228" s="28">
        <v>5.8494412100000002</v>
      </c>
      <c r="M1228" s="28">
        <v>132.314142</v>
      </c>
      <c r="N1228" s="28">
        <v>71.672443400000006</v>
      </c>
      <c r="O1228" s="28">
        <v>1034.0407299999999</v>
      </c>
      <c r="P1228" s="28">
        <v>965.95926699999995</v>
      </c>
    </row>
    <row r="1229" spans="1:16" x14ac:dyDescent="0.25">
      <c r="A1229" s="40">
        <v>4</v>
      </c>
      <c r="B1229" s="40">
        <v>219</v>
      </c>
      <c r="C1229" s="28">
        <v>15.792356099999999</v>
      </c>
      <c r="D1229" s="28">
        <v>6.7221379900000002</v>
      </c>
      <c r="E1229" s="28">
        <v>27.822005699999998</v>
      </c>
      <c r="F1229" s="28">
        <v>23.9747527</v>
      </c>
      <c r="G1229" s="28">
        <v>26.0503505</v>
      </c>
      <c r="H1229" s="28">
        <v>78.138281800000001</v>
      </c>
      <c r="I1229" s="28">
        <v>66.301678899999999</v>
      </c>
      <c r="J1229" s="28">
        <v>992.48924599999998</v>
      </c>
      <c r="K1229" s="28">
        <v>934.54706499999998</v>
      </c>
      <c r="L1229" s="28">
        <v>5.9231470100000001</v>
      </c>
      <c r="M1229" s="28">
        <v>132.124368</v>
      </c>
      <c r="N1229" s="28">
        <v>73.249683000000005</v>
      </c>
      <c r="O1229" s="28">
        <v>1047.07015</v>
      </c>
      <c r="P1229" s="28">
        <v>952.92985299999998</v>
      </c>
    </row>
    <row r="1230" spans="1:16" x14ac:dyDescent="0.25">
      <c r="A1230" s="40">
        <v>4</v>
      </c>
      <c r="B1230" s="40">
        <v>220</v>
      </c>
      <c r="C1230" s="28">
        <v>15.9651835</v>
      </c>
      <c r="D1230" s="28">
        <v>6.8033784800000001</v>
      </c>
      <c r="E1230" s="28">
        <v>28.061891200000002</v>
      </c>
      <c r="F1230" s="28">
        <v>23.960644800000001</v>
      </c>
      <c r="G1230" s="28">
        <v>25.844007099999999</v>
      </c>
      <c r="H1230" s="28">
        <v>78.292038199999993</v>
      </c>
      <c r="I1230" s="28">
        <v>65.824347700000004</v>
      </c>
      <c r="J1230" s="28">
        <v>993.28923799999995</v>
      </c>
      <c r="K1230" s="28">
        <v>937.06854699999997</v>
      </c>
      <c r="L1230" s="28">
        <v>5.8616213500000001</v>
      </c>
      <c r="M1230" s="28">
        <v>131.811474</v>
      </c>
      <c r="N1230" s="28">
        <v>73.523913199999996</v>
      </c>
      <c r="O1230" s="28">
        <v>1036.19389</v>
      </c>
      <c r="P1230" s="28">
        <v>963.80611099999999</v>
      </c>
    </row>
    <row r="1231" spans="1:16" x14ac:dyDescent="0.25">
      <c r="A1231" s="40">
        <v>4</v>
      </c>
      <c r="B1231" s="40">
        <v>221</v>
      </c>
      <c r="C1231" s="28">
        <v>15.955199500000001</v>
      </c>
      <c r="D1231" s="28">
        <v>6.8463377799999998</v>
      </c>
      <c r="E1231" s="28">
        <v>28.092703700000001</v>
      </c>
      <c r="F1231" s="28">
        <v>24.2450133</v>
      </c>
      <c r="G1231" s="28">
        <v>25.6573797</v>
      </c>
      <c r="H1231" s="28">
        <v>78.3717805</v>
      </c>
      <c r="I1231" s="28">
        <v>65.742503799999994</v>
      </c>
      <c r="J1231" s="28">
        <v>993.36241099999995</v>
      </c>
      <c r="K1231" s="28">
        <v>936.89167699999996</v>
      </c>
      <c r="L1231" s="28">
        <v>5.7859743899999998</v>
      </c>
      <c r="M1231" s="28">
        <v>132.01802599999999</v>
      </c>
      <c r="N1231" s="28">
        <v>74.184152900000001</v>
      </c>
      <c r="O1231" s="28">
        <v>1022.82132</v>
      </c>
      <c r="P1231" s="28">
        <v>977.17867699999999</v>
      </c>
    </row>
    <row r="1232" spans="1:16" x14ac:dyDescent="0.25">
      <c r="A1232" s="40">
        <v>4</v>
      </c>
      <c r="B1232" s="40">
        <v>222</v>
      </c>
      <c r="C1232" s="28">
        <v>16.258392300000001</v>
      </c>
      <c r="D1232" s="28">
        <v>6.7657222299999997</v>
      </c>
      <c r="E1232" s="28">
        <v>28.278595200000002</v>
      </c>
      <c r="F1232" s="28">
        <v>24.381457399999999</v>
      </c>
      <c r="G1232" s="28">
        <v>25.314962099999999</v>
      </c>
      <c r="H1232" s="28">
        <v>78.671378000000004</v>
      </c>
      <c r="I1232" s="28">
        <v>65.540101899999996</v>
      </c>
      <c r="J1232" s="28">
        <v>994.96806300000003</v>
      </c>
      <c r="K1232" s="28">
        <v>943.95646799999997</v>
      </c>
      <c r="L1232" s="28">
        <v>5.8039764500000004</v>
      </c>
      <c r="M1232" s="28">
        <v>131.614226</v>
      </c>
      <c r="N1232" s="28">
        <v>73.726454200000006</v>
      </c>
      <c r="O1232" s="28">
        <v>1026.0036500000001</v>
      </c>
      <c r="P1232" s="28">
        <v>973.99634500000002</v>
      </c>
    </row>
    <row r="1233" spans="1:16" x14ac:dyDescent="0.25">
      <c r="A1233" s="40">
        <v>4</v>
      </c>
      <c r="B1233" s="40">
        <v>223</v>
      </c>
      <c r="C1233" s="28">
        <v>16.347936199999999</v>
      </c>
      <c r="D1233" s="28">
        <v>6.8207601499999999</v>
      </c>
      <c r="E1233" s="28">
        <v>28.6225974</v>
      </c>
      <c r="F1233" s="28">
        <v>24.4532247</v>
      </c>
      <c r="G1233" s="28">
        <v>25.0307301</v>
      </c>
      <c r="H1233" s="28">
        <v>78.684845600000003</v>
      </c>
      <c r="I1233" s="28">
        <v>65.9243515</v>
      </c>
      <c r="J1233" s="28">
        <v>995.84640400000001</v>
      </c>
      <c r="K1233" s="28">
        <v>945.89172599999995</v>
      </c>
      <c r="L1233" s="28">
        <v>5.8433777600000001</v>
      </c>
      <c r="M1233" s="28">
        <v>132.30863099999999</v>
      </c>
      <c r="N1233" s="28">
        <v>73.457853400000005</v>
      </c>
      <c r="O1233" s="28">
        <v>1032.9688599999999</v>
      </c>
      <c r="P1233" s="28">
        <v>967.03114100000005</v>
      </c>
    </row>
    <row r="1234" spans="1:16" x14ac:dyDescent="0.25">
      <c r="A1234" s="40">
        <v>4</v>
      </c>
      <c r="B1234" s="40">
        <v>224</v>
      </c>
      <c r="C1234" s="28">
        <v>16.227599000000001</v>
      </c>
      <c r="D1234" s="28">
        <v>6.8239081700000002</v>
      </c>
      <c r="E1234" s="28">
        <v>28.702452300000001</v>
      </c>
      <c r="F1234" s="28">
        <v>24.324860099999999</v>
      </c>
      <c r="G1234" s="28">
        <v>24.860368999999999</v>
      </c>
      <c r="H1234" s="28">
        <v>78.675446600000001</v>
      </c>
      <c r="I1234" s="28">
        <v>64.742597700000005</v>
      </c>
      <c r="J1234" s="28">
        <v>995.64961600000004</v>
      </c>
      <c r="K1234" s="28">
        <v>941.441193</v>
      </c>
      <c r="L1234" s="28">
        <v>5.8712298799999996</v>
      </c>
      <c r="M1234" s="28">
        <v>131.78053199999999</v>
      </c>
      <c r="N1234" s="28">
        <v>72.523603699999995</v>
      </c>
      <c r="O1234" s="28">
        <v>1037.8924500000001</v>
      </c>
      <c r="P1234" s="28">
        <v>962.10755400000005</v>
      </c>
    </row>
    <row r="1235" spans="1:16" x14ac:dyDescent="0.25">
      <c r="A1235" s="40">
        <v>4</v>
      </c>
      <c r="B1235" s="40">
        <v>225</v>
      </c>
      <c r="C1235" s="28">
        <v>16.2737981</v>
      </c>
      <c r="D1235" s="28">
        <v>6.8741266100000002</v>
      </c>
      <c r="E1235" s="28">
        <v>28.560033700000002</v>
      </c>
      <c r="F1235" s="28">
        <v>24.497294700000001</v>
      </c>
      <c r="G1235" s="28">
        <v>25.193225099999999</v>
      </c>
      <c r="H1235" s="28">
        <v>79.6832086</v>
      </c>
      <c r="I1235" s="28">
        <v>65.861386400000001</v>
      </c>
      <c r="J1235" s="28">
        <v>995.63821299999995</v>
      </c>
      <c r="K1235" s="28">
        <v>945.97837000000004</v>
      </c>
      <c r="L1235" s="28">
        <v>5.9019118099999996</v>
      </c>
      <c r="M1235" s="28">
        <v>132.45245700000001</v>
      </c>
      <c r="N1235" s="28">
        <v>72.916556</v>
      </c>
      <c r="O1235" s="28">
        <v>1043.31627</v>
      </c>
      <c r="P1235" s="28">
        <v>956.68372499999998</v>
      </c>
    </row>
    <row r="1236" spans="1:16" x14ac:dyDescent="0.25">
      <c r="A1236" s="40">
        <v>4</v>
      </c>
      <c r="B1236" s="40">
        <v>226</v>
      </c>
      <c r="C1236" s="28">
        <v>16.293796100000002</v>
      </c>
      <c r="D1236" s="28">
        <v>6.8643815799999999</v>
      </c>
      <c r="E1236" s="28">
        <v>28.5330476</v>
      </c>
      <c r="F1236" s="28">
        <v>24.547207499999999</v>
      </c>
      <c r="G1236" s="28">
        <v>25.3823528</v>
      </c>
      <c r="H1236" s="28">
        <v>80.376271900000006</v>
      </c>
      <c r="I1236" s="28">
        <v>66.292202000000003</v>
      </c>
      <c r="J1236" s="28">
        <v>995.31948199999999</v>
      </c>
      <c r="K1236" s="28">
        <v>947.79691500000001</v>
      </c>
      <c r="L1236" s="28">
        <v>5.8599334499999998</v>
      </c>
      <c r="M1236" s="28">
        <v>133.108453</v>
      </c>
      <c r="N1236" s="28">
        <v>72.496081899999993</v>
      </c>
      <c r="O1236" s="28">
        <v>1035.8955100000001</v>
      </c>
      <c r="P1236" s="28">
        <v>964.10449200000005</v>
      </c>
    </row>
    <row r="1237" spans="1:16" x14ac:dyDescent="0.25">
      <c r="A1237" s="40">
        <v>4</v>
      </c>
      <c r="B1237" s="40">
        <v>227</v>
      </c>
      <c r="C1237" s="28">
        <v>16.0758771</v>
      </c>
      <c r="D1237" s="28">
        <v>6.8386919900000001</v>
      </c>
      <c r="E1237" s="28">
        <v>28.725198500000001</v>
      </c>
      <c r="F1237" s="28">
        <v>24.573248100000001</v>
      </c>
      <c r="G1237" s="28">
        <v>25.371341300000001</v>
      </c>
      <c r="H1237" s="28">
        <v>80.009447800000004</v>
      </c>
      <c r="I1237" s="28">
        <v>65.480370600000001</v>
      </c>
      <c r="J1237" s="28">
        <v>994.68622200000004</v>
      </c>
      <c r="K1237" s="28">
        <v>951.76393700000006</v>
      </c>
      <c r="L1237" s="28">
        <v>5.7480298200000002</v>
      </c>
      <c r="M1237" s="28">
        <v>132.777717</v>
      </c>
      <c r="N1237" s="28">
        <v>70.917750499999997</v>
      </c>
      <c r="O1237" s="28">
        <v>1016.1136299999999</v>
      </c>
      <c r="P1237" s="28">
        <v>983.88636699999995</v>
      </c>
    </row>
    <row r="1238" spans="1:16" x14ac:dyDescent="0.25">
      <c r="A1238" s="40">
        <v>4</v>
      </c>
      <c r="B1238" s="40">
        <v>228</v>
      </c>
      <c r="C1238" s="28">
        <v>16.086988600000002</v>
      </c>
      <c r="D1238" s="28">
        <v>6.8263644599999997</v>
      </c>
      <c r="E1238" s="28">
        <v>28.675048199999999</v>
      </c>
      <c r="F1238" s="28">
        <v>24.659148299999998</v>
      </c>
      <c r="G1238" s="28">
        <v>25.1954131</v>
      </c>
      <c r="H1238" s="28">
        <v>79.333377299999995</v>
      </c>
      <c r="I1238" s="28">
        <v>65.219612799999993</v>
      </c>
      <c r="J1238" s="28">
        <v>994.51765699999999</v>
      </c>
      <c r="K1238" s="28">
        <v>955.01190599999995</v>
      </c>
      <c r="L1238" s="28">
        <v>5.6548485700000004</v>
      </c>
      <c r="M1238" s="28">
        <v>132.14743300000001</v>
      </c>
      <c r="N1238" s="28">
        <v>71.025739900000005</v>
      </c>
      <c r="O1238" s="28">
        <v>999.64142700000002</v>
      </c>
      <c r="P1238" s="28">
        <v>1000.35857</v>
      </c>
    </row>
    <row r="1239" spans="1:16" x14ac:dyDescent="0.25">
      <c r="A1239" s="40">
        <v>4</v>
      </c>
      <c r="B1239" s="40">
        <v>229</v>
      </c>
      <c r="C1239" s="28">
        <v>16.0603324</v>
      </c>
      <c r="D1239" s="28">
        <v>6.81484662</v>
      </c>
      <c r="E1239" s="28">
        <v>28.597401399999999</v>
      </c>
      <c r="F1239" s="28">
        <v>24.349417299999999</v>
      </c>
      <c r="G1239" s="28">
        <v>24.845647799999998</v>
      </c>
      <c r="H1239" s="28">
        <v>79.234414700000002</v>
      </c>
      <c r="I1239" s="28">
        <v>64.689995800000005</v>
      </c>
      <c r="J1239" s="28">
        <v>995.86082399999998</v>
      </c>
      <c r="K1239" s="28">
        <v>951.93441600000006</v>
      </c>
      <c r="L1239" s="28">
        <v>5.5732594100000004</v>
      </c>
      <c r="M1239" s="28">
        <v>131.76616000000001</v>
      </c>
      <c r="N1239" s="28">
        <v>70.263085599999997</v>
      </c>
      <c r="O1239" s="28">
        <v>985.21842200000003</v>
      </c>
      <c r="P1239" s="28">
        <v>1014.78158</v>
      </c>
    </row>
    <row r="1240" spans="1:16" x14ac:dyDescent="0.25">
      <c r="A1240" s="40">
        <v>4</v>
      </c>
      <c r="B1240" s="40">
        <v>230</v>
      </c>
      <c r="C1240" s="28">
        <v>16.162876600000001</v>
      </c>
      <c r="D1240" s="28">
        <v>6.6862685800000001</v>
      </c>
      <c r="E1240" s="28">
        <v>28.671325899999999</v>
      </c>
      <c r="F1240" s="28">
        <v>24.262718799999998</v>
      </c>
      <c r="G1240" s="28">
        <v>24.620034799999999</v>
      </c>
      <c r="H1240" s="28">
        <v>77.735297500000001</v>
      </c>
      <c r="I1240" s="28">
        <v>64.103681100000003</v>
      </c>
      <c r="J1240" s="28">
        <v>996.53774699999997</v>
      </c>
      <c r="K1240" s="28">
        <v>951.460511</v>
      </c>
      <c r="L1240" s="28">
        <v>5.6278055599999997</v>
      </c>
      <c r="M1240" s="28">
        <v>130.382169</v>
      </c>
      <c r="N1240" s="28">
        <v>69.756072700000004</v>
      </c>
      <c r="O1240" s="28">
        <v>994.86087199999997</v>
      </c>
      <c r="P1240" s="28">
        <v>1005.13913</v>
      </c>
    </row>
    <row r="1241" spans="1:16" x14ac:dyDescent="0.25">
      <c r="A1241" s="40">
        <v>4</v>
      </c>
      <c r="B1241" s="40">
        <v>231</v>
      </c>
      <c r="C1241" s="28">
        <v>16.191523</v>
      </c>
      <c r="D1241" s="28">
        <v>6.7057164199999999</v>
      </c>
      <c r="E1241" s="28">
        <v>28.448040500000001</v>
      </c>
      <c r="F1241" s="28">
        <v>24.334480299999999</v>
      </c>
      <c r="G1241" s="28">
        <v>24.726551300000001</v>
      </c>
      <c r="H1241" s="28">
        <v>78.615913399999997</v>
      </c>
      <c r="I1241" s="28">
        <v>64.563440700000001</v>
      </c>
      <c r="J1241" s="28">
        <v>996.98025500000006</v>
      </c>
      <c r="K1241" s="28">
        <v>957.92182000000003</v>
      </c>
      <c r="L1241" s="28">
        <v>5.6084304200000004</v>
      </c>
      <c r="M1241" s="28">
        <v>130.78434999999999</v>
      </c>
      <c r="N1241" s="28">
        <v>69.995944600000001</v>
      </c>
      <c r="O1241" s="28">
        <v>991.43581300000005</v>
      </c>
      <c r="P1241" s="28">
        <v>1008.5641900000001</v>
      </c>
    </row>
    <row r="1242" spans="1:16" x14ac:dyDescent="0.25">
      <c r="A1242" s="40">
        <v>4</v>
      </c>
      <c r="B1242" s="40">
        <v>232</v>
      </c>
      <c r="C1242" s="28">
        <v>16.177091699999998</v>
      </c>
      <c r="D1242" s="28">
        <v>6.72519315</v>
      </c>
      <c r="E1242" s="28">
        <v>28.566202499999999</v>
      </c>
      <c r="F1242" s="28">
        <v>24.451835899999999</v>
      </c>
      <c r="G1242" s="28">
        <v>24.885199199999999</v>
      </c>
      <c r="H1242" s="28">
        <v>78.6903334</v>
      </c>
      <c r="I1242" s="28">
        <v>64.670643600000005</v>
      </c>
      <c r="J1242" s="28">
        <v>996.31822199999999</v>
      </c>
      <c r="K1242" s="28">
        <v>957.70990400000005</v>
      </c>
      <c r="L1242" s="28">
        <v>5.5563031900000004</v>
      </c>
      <c r="M1242" s="28">
        <v>131.092883</v>
      </c>
      <c r="N1242" s="28">
        <v>69.4951899</v>
      </c>
      <c r="O1242" s="28">
        <v>982.22096999999997</v>
      </c>
      <c r="P1242" s="28">
        <v>1017.77903</v>
      </c>
    </row>
    <row r="1243" spans="1:16" x14ac:dyDescent="0.25">
      <c r="A1243" s="40">
        <v>4</v>
      </c>
      <c r="B1243" s="40">
        <v>233</v>
      </c>
      <c r="C1243" s="28">
        <v>16.149559100000001</v>
      </c>
      <c r="D1243" s="28">
        <v>6.7430704400000003</v>
      </c>
      <c r="E1243" s="28">
        <v>28.382368100000001</v>
      </c>
      <c r="F1243" s="28">
        <v>24.4161641</v>
      </c>
      <c r="G1243" s="28">
        <v>24.8420974</v>
      </c>
      <c r="H1243" s="28">
        <v>79.150574000000006</v>
      </c>
      <c r="I1243" s="28">
        <v>64.502903799999999</v>
      </c>
      <c r="J1243" s="28">
        <v>996.83718799999997</v>
      </c>
      <c r="K1243" s="28">
        <v>965.94308000000001</v>
      </c>
      <c r="L1243" s="28">
        <v>5.64578091</v>
      </c>
      <c r="M1243" s="28">
        <v>131.13245599999999</v>
      </c>
      <c r="N1243" s="28">
        <v>68.613841899999997</v>
      </c>
      <c r="O1243" s="28">
        <v>998.03848200000004</v>
      </c>
      <c r="P1243" s="28">
        <v>1001.96152</v>
      </c>
    </row>
    <row r="1244" spans="1:16" x14ac:dyDescent="0.25">
      <c r="A1244" s="40">
        <v>4</v>
      </c>
      <c r="B1244" s="40">
        <v>234</v>
      </c>
      <c r="C1244" s="28">
        <v>16.1240281</v>
      </c>
      <c r="D1244" s="28">
        <v>6.7350383799999998</v>
      </c>
      <c r="E1244" s="28">
        <v>28.632896899999999</v>
      </c>
      <c r="F1244" s="28">
        <v>24.359911400000001</v>
      </c>
      <c r="G1244" s="28">
        <v>24.577176399999999</v>
      </c>
      <c r="H1244" s="28">
        <v>78.9250586</v>
      </c>
      <c r="I1244" s="28">
        <v>63.059973599999999</v>
      </c>
      <c r="J1244" s="28">
        <v>997.16395799999998</v>
      </c>
      <c r="K1244" s="28">
        <v>970.52303900000004</v>
      </c>
      <c r="L1244" s="28">
        <v>5.6473881500000003</v>
      </c>
      <c r="M1244" s="28">
        <v>130.6524</v>
      </c>
      <c r="N1244" s="28">
        <v>69.083995000000002</v>
      </c>
      <c r="O1244" s="28">
        <v>998.32260399999996</v>
      </c>
      <c r="P1244" s="28">
        <v>1001.6774</v>
      </c>
    </row>
    <row r="1245" spans="1:16" x14ac:dyDescent="0.25">
      <c r="A1245" s="40">
        <v>4</v>
      </c>
      <c r="B1245" s="40">
        <v>235</v>
      </c>
      <c r="C1245" s="28">
        <v>16.149260999999999</v>
      </c>
      <c r="D1245" s="28">
        <v>6.6917716599999997</v>
      </c>
      <c r="E1245" s="28">
        <v>28.613961700000001</v>
      </c>
      <c r="F1245" s="28">
        <v>24.391275799999999</v>
      </c>
      <c r="G1245" s="28">
        <v>24.561085599999998</v>
      </c>
      <c r="H1245" s="28">
        <v>79.045333299999996</v>
      </c>
      <c r="I1245" s="28">
        <v>64.131950399999994</v>
      </c>
      <c r="J1245" s="28">
        <v>997.436555</v>
      </c>
      <c r="K1245" s="28">
        <v>961.51767900000004</v>
      </c>
      <c r="L1245" s="28">
        <v>5.7391006100000004</v>
      </c>
      <c r="M1245" s="28">
        <v>130.51773900000001</v>
      </c>
      <c r="N1245" s="28">
        <v>70.830464699999993</v>
      </c>
      <c r="O1245" s="28">
        <v>1014.53516</v>
      </c>
      <c r="P1245" s="28">
        <v>985.46483699999999</v>
      </c>
    </row>
    <row r="1246" spans="1:16" x14ac:dyDescent="0.25">
      <c r="A1246" s="40">
        <v>4</v>
      </c>
      <c r="B1246" s="40">
        <v>236</v>
      </c>
      <c r="C1246" s="28">
        <v>16.279544399999999</v>
      </c>
      <c r="D1246" s="28">
        <v>6.7216477299999999</v>
      </c>
      <c r="E1246" s="28">
        <v>28.648580200000001</v>
      </c>
      <c r="F1246" s="28">
        <v>24.493364499999998</v>
      </c>
      <c r="G1246" s="28">
        <v>24.594746199999999</v>
      </c>
      <c r="H1246" s="28">
        <v>79.311863500000001</v>
      </c>
      <c r="I1246" s="28">
        <v>63.563997100000002</v>
      </c>
      <c r="J1246" s="28">
        <v>997.91985099999999</v>
      </c>
      <c r="K1246" s="28">
        <v>964.45571299999995</v>
      </c>
      <c r="L1246" s="28">
        <v>5.72891803</v>
      </c>
      <c r="M1246" s="28">
        <v>131.297854</v>
      </c>
      <c r="N1246" s="28">
        <v>69.901728599999998</v>
      </c>
      <c r="O1246" s="28">
        <v>1012.73513</v>
      </c>
      <c r="P1246" s="28">
        <v>987.26487199999997</v>
      </c>
    </row>
    <row r="1247" spans="1:16" x14ac:dyDescent="0.25">
      <c r="A1247" s="40">
        <v>4</v>
      </c>
      <c r="B1247" s="40">
        <v>237</v>
      </c>
      <c r="C1247" s="28">
        <v>16.301541499999999</v>
      </c>
      <c r="D1247" s="28">
        <v>6.8074120699999998</v>
      </c>
      <c r="E1247" s="28">
        <v>28.510238000000001</v>
      </c>
      <c r="F1247" s="28">
        <v>24.698643499999999</v>
      </c>
      <c r="G1247" s="28">
        <v>24.539213400000001</v>
      </c>
      <c r="H1247" s="28">
        <v>79.987719600000005</v>
      </c>
      <c r="I1247" s="28">
        <v>63.449106700000002</v>
      </c>
      <c r="J1247" s="28">
        <v>998.14442099999997</v>
      </c>
      <c r="K1247" s="28">
        <v>965.86155799999995</v>
      </c>
      <c r="L1247" s="28">
        <v>5.7232421100000002</v>
      </c>
      <c r="M1247" s="28">
        <v>131.70406</v>
      </c>
      <c r="N1247" s="28">
        <v>68.885255299999997</v>
      </c>
      <c r="O1247" s="28">
        <v>1011.73176</v>
      </c>
      <c r="P1247" s="28">
        <v>988.268238</v>
      </c>
    </row>
    <row r="1248" spans="1:16" x14ac:dyDescent="0.25">
      <c r="A1248" s="40">
        <v>4</v>
      </c>
      <c r="B1248" s="40">
        <v>238</v>
      </c>
      <c r="C1248" s="28">
        <v>16.429488200000002</v>
      </c>
      <c r="D1248" s="28">
        <v>6.7742634600000002</v>
      </c>
      <c r="E1248" s="28">
        <v>28.305923700000001</v>
      </c>
      <c r="F1248" s="28">
        <v>24.586919300000002</v>
      </c>
      <c r="G1248" s="28">
        <v>24.2104532</v>
      </c>
      <c r="H1248" s="28">
        <v>78.7531587</v>
      </c>
      <c r="I1248" s="28">
        <v>63.736788400000002</v>
      </c>
      <c r="J1248" s="28">
        <v>999.00690899999995</v>
      </c>
      <c r="K1248" s="28">
        <v>964.74521800000002</v>
      </c>
      <c r="L1248" s="28">
        <v>5.7344326900000002</v>
      </c>
      <c r="M1248" s="28">
        <v>131.339496</v>
      </c>
      <c r="N1248" s="28">
        <v>70.761569699999995</v>
      </c>
      <c r="O1248" s="28">
        <v>1013.7099899999999</v>
      </c>
      <c r="P1248" s="28">
        <v>986.29001300000004</v>
      </c>
    </row>
    <row r="1249" spans="1:16" x14ac:dyDescent="0.25">
      <c r="A1249" s="40">
        <v>4</v>
      </c>
      <c r="B1249" s="40">
        <v>239</v>
      </c>
      <c r="C1249" s="28">
        <v>16.363876099999999</v>
      </c>
      <c r="D1249" s="28">
        <v>6.7719016500000002</v>
      </c>
      <c r="E1249" s="28">
        <v>27.998397799999999</v>
      </c>
      <c r="F1249" s="28">
        <v>24.314656100000001</v>
      </c>
      <c r="G1249" s="28">
        <v>24.371675100000001</v>
      </c>
      <c r="H1249" s="28">
        <v>77.8400836</v>
      </c>
      <c r="I1249" s="28">
        <v>63.074439099999999</v>
      </c>
      <c r="J1249" s="28">
        <v>999.28481299999999</v>
      </c>
      <c r="K1249" s="28">
        <v>968.45169499999997</v>
      </c>
      <c r="L1249" s="28">
        <v>5.7751076799999996</v>
      </c>
      <c r="M1249" s="28">
        <v>130.446879</v>
      </c>
      <c r="N1249" s="28">
        <v>71.980200300000007</v>
      </c>
      <c r="O1249" s="28">
        <v>1020.90035</v>
      </c>
      <c r="P1249" s="28">
        <v>979.09965199999999</v>
      </c>
    </row>
    <row r="1250" spans="1:16" x14ac:dyDescent="0.25">
      <c r="A1250" s="40">
        <v>4</v>
      </c>
      <c r="B1250" s="40">
        <v>240</v>
      </c>
      <c r="C1250" s="28">
        <v>16.438286999999999</v>
      </c>
      <c r="D1250" s="28">
        <v>6.8177817699999999</v>
      </c>
      <c r="E1250" s="28">
        <v>27.8461274</v>
      </c>
      <c r="F1250" s="28">
        <v>24.284296000000001</v>
      </c>
      <c r="G1250" s="28">
        <v>24.238611599999999</v>
      </c>
      <c r="H1250" s="28">
        <v>77.4425892</v>
      </c>
      <c r="I1250" s="28">
        <v>64.173790800000006</v>
      </c>
      <c r="J1250" s="28">
        <v>999.45851600000003</v>
      </c>
      <c r="K1250" s="28">
        <v>973.93527900000004</v>
      </c>
      <c r="L1250" s="28">
        <v>5.7110295600000001</v>
      </c>
      <c r="M1250" s="28">
        <v>131.28085899999999</v>
      </c>
      <c r="N1250" s="28">
        <v>71.605262699999997</v>
      </c>
      <c r="O1250" s="28">
        <v>1009.5728800000001</v>
      </c>
      <c r="P1250" s="28">
        <v>990.42712400000005</v>
      </c>
    </row>
    <row r="1251" spans="1:16" x14ac:dyDescent="0.25">
      <c r="A1251" s="40">
        <v>4</v>
      </c>
      <c r="B1251" s="40">
        <v>241</v>
      </c>
      <c r="C1251" s="28">
        <v>16.3899194</v>
      </c>
      <c r="D1251" s="28">
        <v>6.7792115600000002</v>
      </c>
      <c r="E1251" s="28">
        <v>27.830860600000001</v>
      </c>
      <c r="F1251" s="28">
        <v>24.128437099999999</v>
      </c>
      <c r="G1251" s="28">
        <v>24.1031364</v>
      </c>
      <c r="H1251" s="28">
        <v>77.361177699999999</v>
      </c>
      <c r="I1251" s="28">
        <v>64.796604500000001</v>
      </c>
      <c r="J1251" s="28">
        <v>999.730188</v>
      </c>
      <c r="K1251" s="28">
        <v>973.59315100000003</v>
      </c>
      <c r="L1251" s="28">
        <v>5.7790906099999999</v>
      </c>
      <c r="M1251" s="28">
        <v>131.13969800000001</v>
      </c>
      <c r="N1251" s="28">
        <v>71.6879876</v>
      </c>
      <c r="O1251" s="28">
        <v>1021.60444</v>
      </c>
      <c r="P1251" s="28">
        <v>978.39556400000004</v>
      </c>
    </row>
    <row r="1252" spans="1:16" x14ac:dyDescent="0.25">
      <c r="A1252" s="40">
        <v>4</v>
      </c>
      <c r="B1252" s="40">
        <v>242</v>
      </c>
      <c r="C1252" s="28">
        <v>16.337011199999999</v>
      </c>
      <c r="D1252" s="28">
        <v>6.7806863499999999</v>
      </c>
      <c r="E1252" s="28">
        <v>27.686371099999999</v>
      </c>
      <c r="F1252" s="28">
        <v>24.108520899999998</v>
      </c>
      <c r="G1252" s="28">
        <v>24.233308699999998</v>
      </c>
      <c r="H1252" s="28">
        <v>78.040167299999993</v>
      </c>
      <c r="I1252" s="28">
        <v>64.418148900000006</v>
      </c>
      <c r="J1252" s="28">
        <v>999.55414399999995</v>
      </c>
      <c r="K1252" s="28">
        <v>976.03037700000004</v>
      </c>
      <c r="L1252" s="28">
        <v>5.8106317199999999</v>
      </c>
      <c r="M1252" s="28">
        <v>131.309225</v>
      </c>
      <c r="N1252" s="28">
        <v>72.244804900000005</v>
      </c>
      <c r="O1252" s="28">
        <v>1027.1801499999999</v>
      </c>
      <c r="P1252" s="28">
        <v>972.81985299999997</v>
      </c>
    </row>
    <row r="1253" spans="1:16" x14ac:dyDescent="0.25">
      <c r="A1253" s="40">
        <v>4</v>
      </c>
      <c r="B1253" s="40">
        <v>243</v>
      </c>
      <c r="C1253" s="28">
        <v>16.3683631</v>
      </c>
      <c r="D1253" s="28">
        <v>6.8275261299999999</v>
      </c>
      <c r="E1253" s="28">
        <v>27.989318099999998</v>
      </c>
      <c r="F1253" s="28">
        <v>24.5289924</v>
      </c>
      <c r="G1253" s="28">
        <v>23.997000799999999</v>
      </c>
      <c r="H1253" s="28">
        <v>78.336129900000003</v>
      </c>
      <c r="I1253" s="28">
        <v>64.1791506</v>
      </c>
      <c r="J1253" s="28">
        <v>999.36399900000004</v>
      </c>
      <c r="K1253" s="28">
        <v>977.71859800000004</v>
      </c>
      <c r="L1253" s="28">
        <v>5.7672106599999999</v>
      </c>
      <c r="M1253" s="28">
        <v>131.79208399999999</v>
      </c>
      <c r="N1253" s="28">
        <v>72.5483093</v>
      </c>
      <c r="O1253" s="28">
        <v>1019.50435</v>
      </c>
      <c r="P1253" s="28">
        <v>980.49565399999994</v>
      </c>
    </row>
    <row r="1254" spans="1:16" x14ac:dyDescent="0.25">
      <c r="A1254" s="40">
        <v>4</v>
      </c>
      <c r="B1254" s="40">
        <v>244</v>
      </c>
      <c r="C1254" s="28">
        <v>16.278086600000002</v>
      </c>
      <c r="D1254" s="28">
        <v>6.8334600500000002</v>
      </c>
      <c r="E1254" s="28">
        <v>27.775093999999999</v>
      </c>
      <c r="F1254" s="28">
        <v>24.278893499999999</v>
      </c>
      <c r="G1254" s="28">
        <v>23.907921300000002</v>
      </c>
      <c r="H1254" s="28">
        <v>78.266351299999997</v>
      </c>
      <c r="I1254" s="28">
        <v>65.009339600000004</v>
      </c>
      <c r="J1254" s="28">
        <v>999.28574000000003</v>
      </c>
      <c r="K1254" s="28">
        <v>974.96671300000003</v>
      </c>
      <c r="L1254" s="28">
        <v>5.7595910200000002</v>
      </c>
      <c r="M1254" s="28">
        <v>131.63230899999999</v>
      </c>
      <c r="N1254" s="28">
        <v>72.001505800000004</v>
      </c>
      <c r="O1254" s="28">
        <v>1018.15738</v>
      </c>
      <c r="P1254" s="28">
        <v>981.842623</v>
      </c>
    </row>
    <row r="1255" spans="1:16" x14ac:dyDescent="0.25">
      <c r="A1255" s="40">
        <v>4</v>
      </c>
      <c r="B1255" s="40">
        <v>245</v>
      </c>
      <c r="C1255" s="28">
        <v>16.165683399999999</v>
      </c>
      <c r="D1255" s="28">
        <v>6.9031108899999998</v>
      </c>
      <c r="E1255" s="28">
        <v>27.7268759</v>
      </c>
      <c r="F1255" s="28">
        <v>24.236562299999999</v>
      </c>
      <c r="G1255" s="28">
        <v>23.874669699999998</v>
      </c>
      <c r="H1255" s="28">
        <v>79.261239200000006</v>
      </c>
      <c r="I1255" s="28">
        <v>65.168145899999999</v>
      </c>
      <c r="J1255" s="28">
        <v>999.07945600000005</v>
      </c>
      <c r="K1255" s="28">
        <v>969.829747</v>
      </c>
      <c r="L1255" s="28">
        <v>5.7068614200000001</v>
      </c>
      <c r="M1255" s="28">
        <v>131.940977</v>
      </c>
      <c r="N1255" s="28">
        <v>72.096678999999995</v>
      </c>
      <c r="O1255" s="28">
        <v>1008.83605</v>
      </c>
      <c r="P1255" s="28">
        <v>991.16395</v>
      </c>
    </row>
    <row r="1256" spans="1:16" x14ac:dyDescent="0.25">
      <c r="A1256" s="40">
        <v>4</v>
      </c>
      <c r="B1256" s="40">
        <v>246</v>
      </c>
      <c r="C1256" s="28">
        <v>16.232444099999999</v>
      </c>
      <c r="D1256" s="28">
        <v>6.9582732700000003</v>
      </c>
      <c r="E1256" s="28">
        <v>27.644080800000001</v>
      </c>
      <c r="F1256" s="28">
        <v>23.798170599999999</v>
      </c>
      <c r="G1256" s="28">
        <v>23.750884299999999</v>
      </c>
      <c r="H1256" s="28">
        <v>79.892832799999994</v>
      </c>
      <c r="I1256" s="28">
        <v>64.391462799999999</v>
      </c>
      <c r="J1256" s="28">
        <v>1000.6519</v>
      </c>
      <c r="K1256" s="28">
        <v>971.931423</v>
      </c>
      <c r="L1256" s="28">
        <v>5.7665845400000002</v>
      </c>
      <c r="M1256" s="28">
        <v>132.226798</v>
      </c>
      <c r="N1256" s="28">
        <v>71.337326599999997</v>
      </c>
      <c r="O1256" s="28">
        <v>1019.39366</v>
      </c>
      <c r="P1256" s="28">
        <v>980.60633800000005</v>
      </c>
    </row>
    <row r="1257" spans="1:16" x14ac:dyDescent="0.25">
      <c r="A1257" s="40">
        <v>4</v>
      </c>
      <c r="B1257" s="40">
        <v>247</v>
      </c>
      <c r="C1257" s="28">
        <v>16.1079872</v>
      </c>
      <c r="D1257" s="28">
        <v>6.9590969999999999</v>
      </c>
      <c r="E1257" s="28">
        <v>27.6079647</v>
      </c>
      <c r="F1257" s="28">
        <v>23.715194799999999</v>
      </c>
      <c r="G1257" s="28">
        <v>23.9534327</v>
      </c>
      <c r="H1257" s="28">
        <v>79.890157599999995</v>
      </c>
      <c r="I1257" s="28">
        <v>64.220369399999996</v>
      </c>
      <c r="J1257" s="28">
        <v>1000.10543</v>
      </c>
      <c r="K1257" s="28">
        <v>966.79839000000004</v>
      </c>
      <c r="L1257" s="28">
        <v>5.7075971000000001</v>
      </c>
      <c r="M1257" s="28">
        <v>131.928011</v>
      </c>
      <c r="N1257" s="28">
        <v>71.582667299999997</v>
      </c>
      <c r="O1257" s="28">
        <v>1008.9661</v>
      </c>
      <c r="P1257" s="28">
        <v>991.03390000000002</v>
      </c>
    </row>
    <row r="1258" spans="1:16" x14ac:dyDescent="0.25">
      <c r="A1258" s="40">
        <v>4</v>
      </c>
      <c r="B1258" s="40">
        <v>248</v>
      </c>
      <c r="C1258" s="28">
        <v>16.001443800000001</v>
      </c>
      <c r="D1258" s="28">
        <v>6.9896526799999998</v>
      </c>
      <c r="E1258" s="28">
        <v>27.3972239</v>
      </c>
      <c r="F1258" s="28">
        <v>23.664114699999999</v>
      </c>
      <c r="G1258" s="28">
        <v>23.910160699999999</v>
      </c>
      <c r="H1258" s="28">
        <v>79.049492000000001</v>
      </c>
      <c r="I1258" s="28">
        <v>64.2129896</v>
      </c>
      <c r="J1258" s="28">
        <v>999.55714399999999</v>
      </c>
      <c r="K1258" s="28">
        <v>963.00642800000003</v>
      </c>
      <c r="L1258" s="28">
        <v>5.6963734300000004</v>
      </c>
      <c r="M1258" s="28">
        <v>131.463922</v>
      </c>
      <c r="N1258" s="28">
        <v>71.919938500000001</v>
      </c>
      <c r="O1258" s="28">
        <v>1006.98203</v>
      </c>
      <c r="P1258" s="28">
        <v>993.01797499999998</v>
      </c>
    </row>
    <row r="1259" spans="1:16" x14ac:dyDescent="0.25">
      <c r="A1259" s="40">
        <v>4</v>
      </c>
      <c r="B1259" s="40">
        <v>249</v>
      </c>
      <c r="C1259" s="28">
        <v>16.0504456</v>
      </c>
      <c r="D1259" s="28">
        <v>7.0177325399999999</v>
      </c>
      <c r="E1259" s="28">
        <v>27.970392199999999</v>
      </c>
      <c r="F1259" s="28">
        <v>23.709536100000001</v>
      </c>
      <c r="G1259" s="28">
        <v>24.048615099999999</v>
      </c>
      <c r="H1259" s="28">
        <v>79.234889100000004</v>
      </c>
      <c r="I1259" s="28">
        <v>64.637140599999995</v>
      </c>
      <c r="J1259" s="28">
        <v>999.45402100000001</v>
      </c>
      <c r="K1259" s="28">
        <v>962.47552399999995</v>
      </c>
      <c r="L1259" s="28">
        <v>5.65824193</v>
      </c>
      <c r="M1259" s="28">
        <v>132.36178100000001</v>
      </c>
      <c r="N1259" s="28">
        <v>72.289616100000003</v>
      </c>
      <c r="O1259" s="28">
        <v>1000.24129</v>
      </c>
      <c r="P1259" s="28">
        <v>999.75870999999995</v>
      </c>
    </row>
    <row r="1260" spans="1:16" x14ac:dyDescent="0.25">
      <c r="A1260" s="40">
        <v>4</v>
      </c>
      <c r="B1260" s="40">
        <v>250</v>
      </c>
      <c r="C1260" s="28">
        <v>16.066635099999999</v>
      </c>
      <c r="D1260" s="28">
        <v>7.0909234699999999</v>
      </c>
      <c r="E1260" s="28">
        <v>27.876052900000001</v>
      </c>
      <c r="F1260" s="28">
        <v>23.6109744</v>
      </c>
      <c r="G1260" s="28">
        <v>24.269919600000001</v>
      </c>
      <c r="H1260" s="28">
        <v>78.486269300000004</v>
      </c>
      <c r="I1260" s="28">
        <v>64.650657199999998</v>
      </c>
      <c r="J1260" s="28">
        <v>999.300254</v>
      </c>
      <c r="K1260" s="28">
        <v>970.75534900000002</v>
      </c>
      <c r="L1260" s="28">
        <v>5.5290867700000002</v>
      </c>
      <c r="M1260" s="28">
        <v>132.41624999999999</v>
      </c>
      <c r="N1260" s="28">
        <v>71.479514499999993</v>
      </c>
      <c r="O1260" s="28">
        <v>977.40976000000001</v>
      </c>
      <c r="P1260" s="28">
        <v>1022.59024</v>
      </c>
    </row>
    <row r="1261" spans="1:16" x14ac:dyDescent="0.25">
      <c r="A1261" s="40">
        <v>4</v>
      </c>
      <c r="B1261" s="40">
        <v>251</v>
      </c>
      <c r="C1261" s="28">
        <v>15.9922301</v>
      </c>
      <c r="D1261" s="28">
        <v>7.0829508199999998</v>
      </c>
      <c r="E1261" s="28">
        <v>27.987536500000001</v>
      </c>
      <c r="F1261" s="28">
        <v>23.397858500000002</v>
      </c>
      <c r="G1261" s="28">
        <v>24.2224507</v>
      </c>
      <c r="H1261" s="28">
        <v>78.116525600000003</v>
      </c>
      <c r="I1261" s="28">
        <v>65.068354600000006</v>
      </c>
      <c r="J1261" s="28">
        <v>999.24634600000002</v>
      </c>
      <c r="K1261" s="28">
        <v>964.62522899999999</v>
      </c>
      <c r="L1261" s="28">
        <v>5.5419670300000003</v>
      </c>
      <c r="M1261" s="28">
        <v>132.05856499999999</v>
      </c>
      <c r="N1261" s="28">
        <v>71.425558300000006</v>
      </c>
      <c r="O1261" s="28">
        <v>979.68668100000002</v>
      </c>
      <c r="P1261" s="28">
        <v>1020.31332</v>
      </c>
    </row>
    <row r="1262" spans="1:16" x14ac:dyDescent="0.25">
      <c r="A1262" s="40">
        <v>4</v>
      </c>
      <c r="B1262" s="40">
        <v>252</v>
      </c>
      <c r="C1262" s="28">
        <v>16.011882400000001</v>
      </c>
      <c r="D1262" s="28">
        <v>7.0245676499999998</v>
      </c>
      <c r="E1262" s="28">
        <v>28.222151100000001</v>
      </c>
      <c r="F1262" s="28">
        <v>23.422059699999998</v>
      </c>
      <c r="G1262" s="28">
        <v>24.409745000000001</v>
      </c>
      <c r="H1262" s="28">
        <v>77.263962399999997</v>
      </c>
      <c r="I1262" s="28">
        <v>65.767063699999994</v>
      </c>
      <c r="J1262" s="28">
        <v>998.81114100000002</v>
      </c>
      <c r="K1262" s="28">
        <v>967.81919600000003</v>
      </c>
      <c r="L1262" s="28">
        <v>5.5728664300000004</v>
      </c>
      <c r="M1262" s="28">
        <v>132.24737999999999</v>
      </c>
      <c r="N1262" s="28">
        <v>72.097730200000001</v>
      </c>
      <c r="O1262" s="28">
        <v>985.14895200000001</v>
      </c>
      <c r="P1262" s="28">
        <v>1014.85105</v>
      </c>
    </row>
    <row r="1263" spans="1:16" x14ac:dyDescent="0.25">
      <c r="A1263" s="41">
        <v>5</v>
      </c>
      <c r="B1263" s="41">
        <v>1</v>
      </c>
      <c r="C1263" s="28">
        <v>16.014810600000001</v>
      </c>
      <c r="D1263" s="28">
        <v>6.9826019199999996</v>
      </c>
      <c r="E1263" s="28">
        <v>28.2787796</v>
      </c>
      <c r="F1263" s="28">
        <v>23.2202147</v>
      </c>
      <c r="G1263" s="28">
        <v>24.1951766</v>
      </c>
      <c r="H1263" s="28">
        <v>76.899364300000002</v>
      </c>
      <c r="I1263" s="28">
        <v>64.681030300000003</v>
      </c>
      <c r="J1263" s="28">
        <v>989.63031599999999</v>
      </c>
      <c r="K1263" s="28">
        <v>939.59244799999999</v>
      </c>
      <c r="L1263" s="42">
        <v>5.6143139499999997</v>
      </c>
      <c r="M1263" s="28">
        <v>131.253996</v>
      </c>
      <c r="N1263" s="28">
        <v>1397.1929299999999</v>
      </c>
      <c r="O1263" s="28">
        <v>1007.43738</v>
      </c>
      <c r="P1263" s="28">
        <v>992.56262000000004</v>
      </c>
    </row>
    <row r="1264" spans="1:16" x14ac:dyDescent="0.25">
      <c r="A1264" s="41">
        <v>5</v>
      </c>
      <c r="B1264" s="41">
        <v>2</v>
      </c>
      <c r="C1264" s="28">
        <v>15.8784063</v>
      </c>
      <c r="D1264" s="28">
        <v>7.0143684500000001</v>
      </c>
      <c r="E1264" s="28">
        <v>28.628480499999998</v>
      </c>
      <c r="F1264" s="28">
        <v>23.2073979</v>
      </c>
      <c r="G1264" s="28">
        <v>24.1293012</v>
      </c>
      <c r="H1264" s="28">
        <v>77.084415199999995</v>
      </c>
      <c r="I1264" s="28">
        <v>65.088894999999994</v>
      </c>
      <c r="J1264" s="28">
        <v>979.72852699999999</v>
      </c>
      <c r="K1264" s="28">
        <v>936.27499399999999</v>
      </c>
      <c r="L1264" s="42">
        <v>5.5380655799999996</v>
      </c>
      <c r="M1264" s="28">
        <v>131.529627</v>
      </c>
      <c r="N1264" s="28">
        <v>1384.15705</v>
      </c>
      <c r="O1264" s="28">
        <v>993.75531000000001</v>
      </c>
      <c r="P1264" s="28">
        <v>1006.24469</v>
      </c>
    </row>
    <row r="1265" spans="1:16" x14ac:dyDescent="0.25">
      <c r="A1265" s="41">
        <v>5</v>
      </c>
      <c r="B1265" s="41">
        <v>3</v>
      </c>
      <c r="C1265" s="28">
        <v>15.786149500000001</v>
      </c>
      <c r="D1265" s="28">
        <v>6.9767595499999997</v>
      </c>
      <c r="E1265" s="28">
        <v>28.725107699999999</v>
      </c>
      <c r="F1265" s="28">
        <v>23.370204900000001</v>
      </c>
      <c r="G1265" s="28">
        <v>24.349466899999999</v>
      </c>
      <c r="H1265" s="28">
        <v>77.445902099999998</v>
      </c>
      <c r="I1265" s="28">
        <v>65.387308399999995</v>
      </c>
      <c r="J1265" s="28">
        <v>986.98162000000002</v>
      </c>
      <c r="K1265" s="28">
        <v>940.48828500000002</v>
      </c>
      <c r="L1265" s="42">
        <v>5.5229538500000004</v>
      </c>
      <c r="M1265" s="28">
        <v>132.00762599999999</v>
      </c>
      <c r="N1265" s="28">
        <v>1400.29314</v>
      </c>
      <c r="O1265" s="28">
        <v>991.04363999999998</v>
      </c>
      <c r="P1265" s="28">
        <v>1008.95636</v>
      </c>
    </row>
    <row r="1266" spans="1:16" x14ac:dyDescent="0.25">
      <c r="A1266" s="41">
        <v>5</v>
      </c>
      <c r="B1266" s="41">
        <v>4</v>
      </c>
      <c r="C1266" s="28">
        <v>15.8015349</v>
      </c>
      <c r="D1266" s="28">
        <v>7.0151769699999997</v>
      </c>
      <c r="E1266" s="28">
        <v>28.8192974</v>
      </c>
      <c r="F1266" s="28">
        <v>23.495081800000001</v>
      </c>
      <c r="G1266" s="28">
        <v>24.3293733</v>
      </c>
      <c r="H1266" s="28">
        <v>76.905224899999993</v>
      </c>
      <c r="I1266" s="28">
        <v>66.2065336</v>
      </c>
      <c r="J1266" s="28">
        <v>978.98124399999995</v>
      </c>
      <c r="K1266" s="28">
        <v>936.13032699999997</v>
      </c>
      <c r="L1266" s="42">
        <v>5.5971602799999998</v>
      </c>
      <c r="M1266" s="28">
        <v>132.41673700000001</v>
      </c>
      <c r="N1266" s="28">
        <v>1419.38075</v>
      </c>
      <c r="O1266" s="28">
        <v>1004.3593100000001</v>
      </c>
      <c r="P1266" s="28">
        <v>995.64068999999995</v>
      </c>
    </row>
    <row r="1267" spans="1:16" x14ac:dyDescent="0.25">
      <c r="A1267" s="41">
        <v>5</v>
      </c>
      <c r="B1267" s="41">
        <v>5</v>
      </c>
      <c r="C1267" s="28">
        <v>15.8769492</v>
      </c>
      <c r="D1267" s="28">
        <v>7.05532746</v>
      </c>
      <c r="E1267" s="28">
        <v>28.797709399999999</v>
      </c>
      <c r="F1267" s="28">
        <v>23.508262599999998</v>
      </c>
      <c r="G1267" s="28">
        <v>24.158089499999999</v>
      </c>
      <c r="H1267" s="28">
        <v>76.780541600000006</v>
      </c>
      <c r="I1267" s="28">
        <v>67.208694600000001</v>
      </c>
      <c r="J1267" s="28">
        <v>985.69585500000005</v>
      </c>
      <c r="K1267" s="28">
        <v>943.70195799999999</v>
      </c>
      <c r="L1267" s="42">
        <v>5.5436496799999997</v>
      </c>
      <c r="M1267" s="28">
        <v>132.85463300000001</v>
      </c>
      <c r="N1267" s="28">
        <v>1402.58708</v>
      </c>
      <c r="O1267" s="28">
        <v>994.75732000000005</v>
      </c>
      <c r="P1267" s="28">
        <v>1005.24268</v>
      </c>
    </row>
    <row r="1268" spans="1:16" x14ac:dyDescent="0.25">
      <c r="A1268" s="41">
        <v>5</v>
      </c>
      <c r="B1268" s="41">
        <v>6</v>
      </c>
      <c r="C1268" s="28">
        <v>15.7981313</v>
      </c>
      <c r="D1268" s="28">
        <v>7.0454370600000003</v>
      </c>
      <c r="E1268" s="28">
        <v>29.048388599999999</v>
      </c>
      <c r="F1268" s="28">
        <v>23.933005300000001</v>
      </c>
      <c r="G1268" s="28">
        <v>24.2766722</v>
      </c>
      <c r="H1268" s="28">
        <v>75.857434299999994</v>
      </c>
      <c r="I1268" s="28">
        <v>66.561189999999996</v>
      </c>
      <c r="J1268" s="28">
        <v>978.37962000000005</v>
      </c>
      <c r="K1268" s="28">
        <v>940.09023200000001</v>
      </c>
      <c r="L1268" s="42">
        <v>5.5972860799999999</v>
      </c>
      <c r="M1268" s="28">
        <v>133.15231399999999</v>
      </c>
      <c r="N1268" s="28">
        <v>1383.9011499999999</v>
      </c>
      <c r="O1268" s="28">
        <v>1004.38188</v>
      </c>
      <c r="P1268" s="28">
        <v>995.61811999999998</v>
      </c>
    </row>
    <row r="1269" spans="1:16" x14ac:dyDescent="0.25">
      <c r="A1269" s="41">
        <v>5</v>
      </c>
      <c r="B1269" s="41">
        <v>7</v>
      </c>
      <c r="C1269" s="28">
        <v>15.823171</v>
      </c>
      <c r="D1269" s="28">
        <v>7.0825581700000004</v>
      </c>
      <c r="E1269" s="28">
        <v>28.986198699999999</v>
      </c>
      <c r="F1269" s="28">
        <v>23.792991700000002</v>
      </c>
      <c r="G1269" s="28">
        <v>24.573615100000001</v>
      </c>
      <c r="H1269" s="28">
        <v>76.447845900000004</v>
      </c>
      <c r="I1269" s="28">
        <v>66.522831100000005</v>
      </c>
      <c r="J1269" s="28">
        <v>984.90897399999994</v>
      </c>
      <c r="K1269" s="28">
        <v>943.61528699999997</v>
      </c>
      <c r="L1269" s="42">
        <v>5.57880894</v>
      </c>
      <c r="M1269" s="28">
        <v>132.60072700000001</v>
      </c>
      <c r="N1269" s="28">
        <v>1387.7882300000001</v>
      </c>
      <c r="O1269" s="28">
        <v>1001.06633</v>
      </c>
      <c r="P1269" s="28">
        <v>998.93367000000001</v>
      </c>
    </row>
    <row r="1270" spans="1:16" x14ac:dyDescent="0.25">
      <c r="A1270" s="41">
        <v>5</v>
      </c>
      <c r="B1270" s="41">
        <v>8</v>
      </c>
      <c r="C1270" s="28">
        <v>15.6792306</v>
      </c>
      <c r="D1270" s="28">
        <v>7.0261372</v>
      </c>
      <c r="E1270" s="28">
        <v>28.930268600000002</v>
      </c>
      <c r="F1270" s="28">
        <v>23.511356800000001</v>
      </c>
      <c r="G1270" s="28">
        <v>24.3116877</v>
      </c>
      <c r="H1270" s="28">
        <v>76.341338800000003</v>
      </c>
      <c r="I1270" s="28">
        <v>66.927482400000002</v>
      </c>
      <c r="J1270" s="28">
        <v>978.26381400000002</v>
      </c>
      <c r="K1270" s="28">
        <v>942.75370099999998</v>
      </c>
      <c r="L1270" s="42">
        <v>5.6229258800000004</v>
      </c>
      <c r="M1270" s="28">
        <v>132.15662599999999</v>
      </c>
      <c r="N1270" s="28">
        <v>1393.2015100000001</v>
      </c>
      <c r="O1270" s="28">
        <v>1008.98271</v>
      </c>
      <c r="P1270" s="28">
        <v>991.01729</v>
      </c>
    </row>
    <row r="1271" spans="1:16" x14ac:dyDescent="0.25">
      <c r="A1271" s="41">
        <v>5</v>
      </c>
      <c r="B1271" s="41">
        <v>9</v>
      </c>
      <c r="C1271" s="28">
        <v>15.7412338</v>
      </c>
      <c r="D1271" s="28">
        <v>7.0931438399999998</v>
      </c>
      <c r="E1271" s="28">
        <v>28.9638305</v>
      </c>
      <c r="F1271" s="28">
        <v>23.497876300000001</v>
      </c>
      <c r="G1271" s="28">
        <v>24.5967433</v>
      </c>
      <c r="H1271" s="28">
        <v>77.604759599999994</v>
      </c>
      <c r="I1271" s="28">
        <v>67.576796799999997</v>
      </c>
      <c r="J1271" s="28">
        <v>984.27722300000005</v>
      </c>
      <c r="K1271" s="28">
        <v>945.68554600000004</v>
      </c>
      <c r="L1271" s="42">
        <v>5.57870417</v>
      </c>
      <c r="M1271" s="28">
        <v>132.74089499999999</v>
      </c>
      <c r="N1271" s="28">
        <v>1375.5732</v>
      </c>
      <c r="O1271" s="28">
        <v>1001.0475300000001</v>
      </c>
      <c r="P1271" s="28">
        <v>998.95246999999995</v>
      </c>
    </row>
    <row r="1272" spans="1:16" x14ac:dyDescent="0.25">
      <c r="A1272" s="41">
        <v>5</v>
      </c>
      <c r="B1272" s="41">
        <v>10</v>
      </c>
      <c r="C1272" s="28">
        <v>15.7979088</v>
      </c>
      <c r="D1272" s="28">
        <v>7.0464313399999998</v>
      </c>
      <c r="E1272" s="28">
        <v>28.9280191</v>
      </c>
      <c r="F1272" s="28">
        <v>23.515948699999999</v>
      </c>
      <c r="G1272" s="28">
        <v>24.657862900000001</v>
      </c>
      <c r="H1272" s="28">
        <v>78.178703999999996</v>
      </c>
      <c r="I1272" s="28">
        <v>68.864690400000001</v>
      </c>
      <c r="J1272" s="28">
        <v>977.81957</v>
      </c>
      <c r="K1272" s="28">
        <v>942.48209399999996</v>
      </c>
      <c r="L1272" s="42">
        <v>5.6752445600000003</v>
      </c>
      <c r="M1272" s="28">
        <v>133.28177700000001</v>
      </c>
      <c r="N1272" s="28">
        <v>1383.86483</v>
      </c>
      <c r="O1272" s="28">
        <v>1018.37082</v>
      </c>
      <c r="P1272" s="28">
        <v>981.62918000000002</v>
      </c>
    </row>
    <row r="1273" spans="1:16" x14ac:dyDescent="0.25">
      <c r="A1273" s="41">
        <v>5</v>
      </c>
      <c r="B1273" s="41">
        <v>11</v>
      </c>
      <c r="C1273" s="28">
        <v>15.655408100000001</v>
      </c>
      <c r="D1273" s="28">
        <v>7.08522651</v>
      </c>
      <c r="E1273" s="28">
        <v>28.794415900000001</v>
      </c>
      <c r="F1273" s="28">
        <v>23.293374</v>
      </c>
      <c r="G1273" s="28">
        <v>24.7222908</v>
      </c>
      <c r="H1273" s="28">
        <v>78.174440500000003</v>
      </c>
      <c r="I1273" s="28">
        <v>69.587757199999999</v>
      </c>
      <c r="J1273" s="28">
        <v>983.82380999999998</v>
      </c>
      <c r="K1273" s="28">
        <v>943.55284200000006</v>
      </c>
      <c r="L1273" s="42">
        <v>5.7515527200000003</v>
      </c>
      <c r="M1273" s="28">
        <v>133.81986699999999</v>
      </c>
      <c r="N1273" s="28">
        <v>1388.43001</v>
      </c>
      <c r="O1273" s="28">
        <v>1032.0636199999999</v>
      </c>
      <c r="P1273" s="28">
        <v>967.93637999999999</v>
      </c>
    </row>
    <row r="1274" spans="1:16" x14ac:dyDescent="0.25">
      <c r="A1274" s="41">
        <v>5</v>
      </c>
      <c r="B1274" s="41">
        <v>12</v>
      </c>
      <c r="C1274" s="28">
        <v>15.8201038</v>
      </c>
      <c r="D1274" s="28">
        <v>6.9975402300000002</v>
      </c>
      <c r="E1274" s="28">
        <v>28.760634400000001</v>
      </c>
      <c r="F1274" s="28">
        <v>23.131657300000001</v>
      </c>
      <c r="G1274" s="28">
        <v>24.5919265</v>
      </c>
      <c r="H1274" s="28">
        <v>77.522435900000005</v>
      </c>
      <c r="I1274" s="28">
        <v>70.904223500000001</v>
      </c>
      <c r="J1274" s="28">
        <v>978.41652299999998</v>
      </c>
      <c r="K1274" s="28">
        <v>943.17155400000001</v>
      </c>
      <c r="L1274" s="42">
        <v>5.8185048100000003</v>
      </c>
      <c r="M1274" s="28">
        <v>133.58595700000001</v>
      </c>
      <c r="N1274" s="28">
        <v>1393.8390999999999</v>
      </c>
      <c r="O1274" s="28">
        <v>1044.0775699999999</v>
      </c>
      <c r="P1274" s="28">
        <v>955.92242999999996</v>
      </c>
    </row>
    <row r="1275" spans="1:16" x14ac:dyDescent="0.25">
      <c r="A1275" s="41">
        <v>5</v>
      </c>
      <c r="B1275" s="41">
        <v>13</v>
      </c>
      <c r="C1275" s="28">
        <v>15.631499099999999</v>
      </c>
      <c r="D1275" s="28">
        <v>6.9511008299999997</v>
      </c>
      <c r="E1275" s="28">
        <v>28.647463999999999</v>
      </c>
      <c r="F1275" s="28">
        <v>23.018114499999999</v>
      </c>
      <c r="G1275" s="28">
        <v>24.3901015</v>
      </c>
      <c r="H1275" s="28">
        <v>77.159496799999999</v>
      </c>
      <c r="I1275" s="28">
        <v>69.409838100000002</v>
      </c>
      <c r="J1275" s="28">
        <v>985.25783899999999</v>
      </c>
      <c r="K1275" s="28">
        <v>945.32246299999997</v>
      </c>
      <c r="L1275" s="42">
        <v>5.8703603600000003</v>
      </c>
      <c r="M1275" s="28">
        <v>132.11291800000001</v>
      </c>
      <c r="N1275" s="28">
        <v>1390.8624500000001</v>
      </c>
      <c r="O1275" s="28">
        <v>1053.38257</v>
      </c>
      <c r="P1275" s="28">
        <v>946.61743000000001</v>
      </c>
    </row>
    <row r="1276" spans="1:16" x14ac:dyDescent="0.25">
      <c r="A1276" s="41">
        <v>5</v>
      </c>
      <c r="B1276" s="41">
        <v>14</v>
      </c>
      <c r="C1276" s="28">
        <v>15.7214978</v>
      </c>
      <c r="D1276" s="28">
        <v>6.9644295200000004</v>
      </c>
      <c r="E1276" s="28">
        <v>28.949099100000002</v>
      </c>
      <c r="F1276" s="28">
        <v>23.370400400000001</v>
      </c>
      <c r="G1276" s="28">
        <v>24.6632791</v>
      </c>
      <c r="H1276" s="28">
        <v>78.220387400000007</v>
      </c>
      <c r="I1276" s="28">
        <v>70.417824600000003</v>
      </c>
      <c r="J1276" s="28">
        <v>978.56766800000003</v>
      </c>
      <c r="K1276" s="28">
        <v>945.03319299999998</v>
      </c>
      <c r="L1276" s="42">
        <v>5.8350157100000004</v>
      </c>
      <c r="M1276" s="28">
        <v>133.21437299999999</v>
      </c>
      <c r="N1276" s="28">
        <v>1369.7140999999999</v>
      </c>
      <c r="O1276" s="28">
        <v>1047.0402999999999</v>
      </c>
      <c r="P1276" s="28">
        <v>952.9597</v>
      </c>
    </row>
    <row r="1277" spans="1:16" x14ac:dyDescent="0.25">
      <c r="A1277" s="41">
        <v>5</v>
      </c>
      <c r="B1277" s="41">
        <v>15</v>
      </c>
      <c r="C1277" s="28">
        <v>15.838784800000001</v>
      </c>
      <c r="D1277" s="28">
        <v>6.9581319099999996</v>
      </c>
      <c r="E1277" s="28">
        <v>29.0732736</v>
      </c>
      <c r="F1277" s="28">
        <v>23.2727711</v>
      </c>
      <c r="G1277" s="28">
        <v>24.5659788</v>
      </c>
      <c r="H1277" s="28">
        <v>78.093984500000005</v>
      </c>
      <c r="I1277" s="28">
        <v>70.657157999999995</v>
      </c>
      <c r="J1277" s="28">
        <v>984.75724600000001</v>
      </c>
      <c r="K1277" s="28">
        <v>948.85966199999996</v>
      </c>
      <c r="L1277" s="42">
        <v>5.8165438700000003</v>
      </c>
      <c r="M1277" s="28">
        <v>133.36188999999999</v>
      </c>
      <c r="N1277" s="28">
        <v>1383.8933400000001</v>
      </c>
      <c r="O1277" s="28">
        <v>1043.72569</v>
      </c>
      <c r="P1277" s="28">
        <v>956.27431000000001</v>
      </c>
    </row>
    <row r="1278" spans="1:16" x14ac:dyDescent="0.25">
      <c r="A1278" s="41">
        <v>5</v>
      </c>
      <c r="B1278" s="41">
        <v>16</v>
      </c>
      <c r="C1278" s="28">
        <v>15.8789997</v>
      </c>
      <c r="D1278" s="28">
        <v>6.9322254399999998</v>
      </c>
      <c r="E1278" s="28">
        <v>29.5778927</v>
      </c>
      <c r="F1278" s="28">
        <v>23.455989899999999</v>
      </c>
      <c r="G1278" s="28">
        <v>24.712832599999999</v>
      </c>
      <c r="H1278" s="28">
        <v>78.447292700000006</v>
      </c>
      <c r="I1278" s="28">
        <v>71.8216769</v>
      </c>
      <c r="J1278" s="28">
        <v>978.15592800000002</v>
      </c>
      <c r="K1278" s="28">
        <v>941.08755299999996</v>
      </c>
      <c r="L1278" s="42">
        <v>5.9669934099999997</v>
      </c>
      <c r="M1278" s="28">
        <v>133.883036</v>
      </c>
      <c r="N1278" s="28">
        <v>1397.26794</v>
      </c>
      <c r="O1278" s="28">
        <v>1070.7224900000001</v>
      </c>
      <c r="P1278" s="28">
        <v>929.27751000000001</v>
      </c>
    </row>
    <row r="1279" spans="1:16" x14ac:dyDescent="0.25">
      <c r="A1279" s="41">
        <v>5</v>
      </c>
      <c r="B1279" s="41">
        <v>17</v>
      </c>
      <c r="C1279" s="28">
        <v>16.044321799999999</v>
      </c>
      <c r="D1279" s="28">
        <v>6.8927043499999998</v>
      </c>
      <c r="E1279" s="28">
        <v>29.7254431</v>
      </c>
      <c r="F1279" s="28">
        <v>23.490073800000001</v>
      </c>
      <c r="G1279" s="28">
        <v>24.388694399999999</v>
      </c>
      <c r="H1279" s="28">
        <v>78.524861999999999</v>
      </c>
      <c r="I1279" s="28">
        <v>70.960585199999997</v>
      </c>
      <c r="J1279" s="28">
        <v>984.44006100000001</v>
      </c>
      <c r="K1279" s="28">
        <v>944.60971800000004</v>
      </c>
      <c r="L1279" s="42">
        <v>5.9740786000000003</v>
      </c>
      <c r="M1279" s="28">
        <v>133.30915200000001</v>
      </c>
      <c r="N1279" s="28">
        <v>1372.6363100000001</v>
      </c>
      <c r="O1279" s="28">
        <v>1071.99386</v>
      </c>
      <c r="P1279" s="28">
        <v>928.00613999999996</v>
      </c>
    </row>
    <row r="1280" spans="1:16" x14ac:dyDescent="0.25">
      <c r="A1280" s="41">
        <v>5</v>
      </c>
      <c r="B1280" s="41">
        <v>18</v>
      </c>
      <c r="C1280" s="28">
        <v>15.7384123</v>
      </c>
      <c r="D1280" s="28">
        <v>6.8642187999999997</v>
      </c>
      <c r="E1280" s="28">
        <v>29.7318727</v>
      </c>
      <c r="F1280" s="28">
        <v>23.781477899999999</v>
      </c>
      <c r="G1280" s="28">
        <v>24.246778800000001</v>
      </c>
      <c r="H1280" s="28">
        <v>78.533355599999993</v>
      </c>
      <c r="I1280" s="28">
        <v>69.551743000000002</v>
      </c>
      <c r="J1280" s="28">
        <v>978.81879000000004</v>
      </c>
      <c r="K1280" s="28">
        <v>935.75895200000002</v>
      </c>
      <c r="L1280" s="42">
        <v>6.0046942000000003</v>
      </c>
      <c r="M1280" s="28">
        <v>132.93987300000001</v>
      </c>
      <c r="N1280" s="28">
        <v>1356.1038799999999</v>
      </c>
      <c r="O1280" s="28">
        <v>1077.4875500000001</v>
      </c>
      <c r="P1280" s="28">
        <v>922.51244999999994</v>
      </c>
    </row>
    <row r="1281" spans="1:16" x14ac:dyDescent="0.25">
      <c r="A1281" s="41">
        <v>5</v>
      </c>
      <c r="B1281" s="41">
        <v>19</v>
      </c>
      <c r="C1281" s="28">
        <v>15.8383114</v>
      </c>
      <c r="D1281" s="28">
        <v>6.7955713800000002</v>
      </c>
      <c r="E1281" s="28">
        <v>29.795568599999999</v>
      </c>
      <c r="F1281" s="28">
        <v>24.018426099999999</v>
      </c>
      <c r="G1281" s="28">
        <v>24.229374100000001</v>
      </c>
      <c r="H1281" s="28">
        <v>79.040937</v>
      </c>
      <c r="I1281" s="28">
        <v>67.7813965</v>
      </c>
      <c r="J1281" s="28">
        <v>985.20236399999999</v>
      </c>
      <c r="K1281" s="28">
        <v>938.37313400000005</v>
      </c>
      <c r="L1281" s="42">
        <v>5.9893838300000004</v>
      </c>
      <c r="M1281" s="28">
        <v>132.80484000000001</v>
      </c>
      <c r="N1281" s="28">
        <v>1380.8305600000001</v>
      </c>
      <c r="O1281" s="28">
        <v>1074.7402500000001</v>
      </c>
      <c r="P1281" s="28">
        <v>925.25975000000005</v>
      </c>
    </row>
    <row r="1282" spans="1:16" x14ac:dyDescent="0.25">
      <c r="A1282" s="41">
        <v>5</v>
      </c>
      <c r="B1282" s="41">
        <v>20</v>
      </c>
      <c r="C1282" s="28">
        <v>15.8592432</v>
      </c>
      <c r="D1282" s="28">
        <v>6.7722771599999998</v>
      </c>
      <c r="E1282" s="28">
        <v>29.554648199999999</v>
      </c>
      <c r="F1282" s="28">
        <v>23.965018400000002</v>
      </c>
      <c r="G1282" s="28">
        <v>24.344845299999999</v>
      </c>
      <c r="H1282" s="28">
        <v>79.031501500000005</v>
      </c>
      <c r="I1282" s="28">
        <v>68.818033499999999</v>
      </c>
      <c r="J1282" s="28">
        <v>980.14627499999995</v>
      </c>
      <c r="K1282" s="28">
        <v>932.67488000000003</v>
      </c>
      <c r="L1282" s="42">
        <v>5.9431438600000002</v>
      </c>
      <c r="M1282" s="28">
        <v>133.33460600000001</v>
      </c>
      <c r="N1282" s="28">
        <v>1388.2338099999999</v>
      </c>
      <c r="O1282" s="28">
        <v>1066.4429</v>
      </c>
      <c r="P1282" s="28">
        <v>933.55709999999999</v>
      </c>
    </row>
    <row r="1283" spans="1:16" x14ac:dyDescent="0.25">
      <c r="A1283" s="41">
        <v>5</v>
      </c>
      <c r="B1283" s="41">
        <v>21</v>
      </c>
      <c r="C1283" s="28">
        <v>15.9022802</v>
      </c>
      <c r="D1283" s="28">
        <v>6.7499462899999996</v>
      </c>
      <c r="E1283" s="28">
        <v>30.143296100000001</v>
      </c>
      <c r="F1283" s="28">
        <v>24.023920100000002</v>
      </c>
      <c r="G1283" s="28">
        <v>24.191984099999999</v>
      </c>
      <c r="H1283" s="28">
        <v>78.419616399999995</v>
      </c>
      <c r="I1283" s="28">
        <v>70.040367399999994</v>
      </c>
      <c r="J1283" s="28">
        <v>984.86809000000005</v>
      </c>
      <c r="K1283" s="28">
        <v>936.85202500000003</v>
      </c>
      <c r="L1283" s="42">
        <v>5.9912922999999996</v>
      </c>
      <c r="M1283" s="28">
        <v>133.836017</v>
      </c>
      <c r="N1283" s="28">
        <v>1374.6602800000001</v>
      </c>
      <c r="O1283" s="28">
        <v>1075.0826999999999</v>
      </c>
      <c r="P1283" s="28">
        <v>924.91729999999995</v>
      </c>
    </row>
    <row r="1284" spans="1:16" x14ac:dyDescent="0.25">
      <c r="A1284" s="41">
        <v>5</v>
      </c>
      <c r="B1284" s="41">
        <v>22</v>
      </c>
      <c r="C1284" s="28">
        <v>15.8652008</v>
      </c>
      <c r="D1284" s="28">
        <v>6.7577418399999996</v>
      </c>
      <c r="E1284" s="28">
        <v>29.989964100000002</v>
      </c>
      <c r="F1284" s="28">
        <v>23.916409600000001</v>
      </c>
      <c r="G1284" s="28">
        <v>24.391959400000001</v>
      </c>
      <c r="H1284" s="28">
        <v>78.798957200000004</v>
      </c>
      <c r="I1284" s="28">
        <v>68.428479100000004</v>
      </c>
      <c r="J1284" s="28">
        <v>979.78169000000003</v>
      </c>
      <c r="K1284" s="28">
        <v>936.97626300000002</v>
      </c>
      <c r="L1284" s="42">
        <v>6.0017526200000004</v>
      </c>
      <c r="M1284" s="28">
        <v>133.51702900000001</v>
      </c>
      <c r="N1284" s="28">
        <v>1377.09105</v>
      </c>
      <c r="O1284" s="28">
        <v>1076.9597100000001</v>
      </c>
      <c r="P1284" s="28">
        <v>923.04029000000003</v>
      </c>
    </row>
    <row r="1285" spans="1:16" x14ac:dyDescent="0.25">
      <c r="A1285" s="41">
        <v>5</v>
      </c>
      <c r="B1285" s="41">
        <v>23</v>
      </c>
      <c r="C1285" s="28">
        <v>15.829475800000001</v>
      </c>
      <c r="D1285" s="28">
        <v>6.74372375</v>
      </c>
      <c r="E1285" s="28">
        <v>29.859556900000001</v>
      </c>
      <c r="F1285" s="28">
        <v>23.878936100000001</v>
      </c>
      <c r="G1285" s="28">
        <v>23.9827987</v>
      </c>
      <c r="H1285" s="28">
        <v>78.845279399999995</v>
      </c>
      <c r="I1285" s="28">
        <v>68.331114799999995</v>
      </c>
      <c r="J1285" s="28">
        <v>985.49195499999996</v>
      </c>
      <c r="K1285" s="28">
        <v>944.509322</v>
      </c>
      <c r="L1285" s="42">
        <v>6.0213746800000001</v>
      </c>
      <c r="M1285" s="28">
        <v>133.30656200000001</v>
      </c>
      <c r="N1285" s="28">
        <v>1384.0977700000001</v>
      </c>
      <c r="O1285" s="28">
        <v>1080.48071</v>
      </c>
      <c r="P1285" s="28">
        <v>919.51928999999996</v>
      </c>
    </row>
    <row r="1286" spans="1:16" x14ac:dyDescent="0.25">
      <c r="A1286" s="41">
        <v>5</v>
      </c>
      <c r="B1286" s="41">
        <v>24</v>
      </c>
      <c r="C1286" s="28">
        <v>15.7999844</v>
      </c>
      <c r="D1286" s="28">
        <v>6.7535896800000002</v>
      </c>
      <c r="E1286" s="28">
        <v>29.731439900000002</v>
      </c>
      <c r="F1286" s="28">
        <v>23.9819581</v>
      </c>
      <c r="G1286" s="28">
        <v>24.073598400000002</v>
      </c>
      <c r="H1286" s="28">
        <v>78.680921100000006</v>
      </c>
      <c r="I1286" s="28">
        <v>68.611368900000002</v>
      </c>
      <c r="J1286" s="28">
        <v>980.42825700000003</v>
      </c>
      <c r="K1286" s="28">
        <v>939.50800200000003</v>
      </c>
      <c r="L1286" s="42">
        <v>6.14457567</v>
      </c>
      <c r="M1286" s="28">
        <v>133.089575</v>
      </c>
      <c r="N1286" s="28">
        <v>1371.2176199999999</v>
      </c>
      <c r="O1286" s="28">
        <v>1102.588</v>
      </c>
      <c r="P1286" s="28">
        <v>897.41200000000003</v>
      </c>
    </row>
    <row r="1287" spans="1:16" x14ac:dyDescent="0.25">
      <c r="A1287" s="41">
        <v>5</v>
      </c>
      <c r="B1287" s="41">
        <v>25</v>
      </c>
      <c r="C1287" s="28">
        <v>15.8841696</v>
      </c>
      <c r="D1287" s="28">
        <v>6.7214892700000002</v>
      </c>
      <c r="E1287" s="28">
        <v>29.877413600000001</v>
      </c>
      <c r="F1287" s="28">
        <v>24.005491800000001</v>
      </c>
      <c r="G1287" s="28">
        <v>24.109013999999998</v>
      </c>
      <c r="H1287" s="28">
        <v>79.127946899999998</v>
      </c>
      <c r="I1287" s="28">
        <v>68.390771700000002</v>
      </c>
      <c r="J1287" s="28">
        <v>985.70052899999996</v>
      </c>
      <c r="K1287" s="28">
        <v>943.29978700000004</v>
      </c>
      <c r="L1287" s="42">
        <v>6.1721594099999999</v>
      </c>
      <c r="M1287" s="28">
        <v>133.49786499999999</v>
      </c>
      <c r="N1287" s="28">
        <v>1385.0909300000001</v>
      </c>
      <c r="O1287" s="28">
        <v>1107.53765</v>
      </c>
      <c r="P1287" s="28">
        <v>892.46235000000001</v>
      </c>
    </row>
    <row r="1288" spans="1:16" x14ac:dyDescent="0.25">
      <c r="A1288" s="41">
        <v>5</v>
      </c>
      <c r="B1288" s="41">
        <v>26</v>
      </c>
      <c r="C1288" s="28">
        <v>15.8861346</v>
      </c>
      <c r="D1288" s="28">
        <v>6.7410191299999997</v>
      </c>
      <c r="E1288" s="28">
        <v>29.9660878</v>
      </c>
      <c r="F1288" s="28">
        <v>24.104345899999998</v>
      </c>
      <c r="G1288" s="28">
        <v>23.8716306</v>
      </c>
      <c r="H1288" s="28">
        <v>79.261412100000001</v>
      </c>
      <c r="I1288" s="28">
        <v>67.095831099999998</v>
      </c>
      <c r="J1288" s="28">
        <v>980.55529300000001</v>
      </c>
      <c r="K1288" s="28">
        <v>947.31878099999994</v>
      </c>
      <c r="L1288" s="42">
        <v>6.1782414899999996</v>
      </c>
      <c r="M1288" s="28">
        <v>133.19784000000001</v>
      </c>
      <c r="N1288" s="28">
        <v>1405.9160899999999</v>
      </c>
      <c r="O1288" s="28">
        <v>1108.6290300000001</v>
      </c>
      <c r="P1288" s="28">
        <v>891.37097000000006</v>
      </c>
    </row>
    <row r="1289" spans="1:16" x14ac:dyDescent="0.25">
      <c r="A1289" s="41">
        <v>5</v>
      </c>
      <c r="B1289" s="41">
        <v>27</v>
      </c>
      <c r="C1289" s="28">
        <v>15.9101423</v>
      </c>
      <c r="D1289" s="28">
        <v>6.68482413</v>
      </c>
      <c r="E1289" s="28">
        <v>29.944412799999998</v>
      </c>
      <c r="F1289" s="28">
        <v>24.111451800000001</v>
      </c>
      <c r="G1289" s="28">
        <v>23.857971200000001</v>
      </c>
      <c r="H1289" s="28">
        <v>78.690541499999995</v>
      </c>
      <c r="I1289" s="28">
        <v>66.911287000000002</v>
      </c>
      <c r="J1289" s="28">
        <v>986.27736100000004</v>
      </c>
      <c r="K1289" s="28">
        <v>951.47624699999994</v>
      </c>
      <c r="L1289" s="42">
        <v>6.1385834399999997</v>
      </c>
      <c r="M1289" s="28">
        <v>133.05533500000001</v>
      </c>
      <c r="N1289" s="28">
        <v>1388.40896</v>
      </c>
      <c r="O1289" s="28">
        <v>1101.5127500000001</v>
      </c>
      <c r="P1289" s="28">
        <v>898.48725000000002</v>
      </c>
    </row>
    <row r="1290" spans="1:16" x14ac:dyDescent="0.25">
      <c r="A1290" s="41">
        <v>5</v>
      </c>
      <c r="B1290" s="41">
        <v>28</v>
      </c>
      <c r="C1290" s="28">
        <v>16.047381399999999</v>
      </c>
      <c r="D1290" s="28">
        <v>6.62868104</v>
      </c>
      <c r="E1290" s="28">
        <v>29.5471191</v>
      </c>
      <c r="F1290" s="28">
        <v>24.2907434</v>
      </c>
      <c r="G1290" s="28">
        <v>23.7036105</v>
      </c>
      <c r="H1290" s="28">
        <v>79.223865000000004</v>
      </c>
      <c r="I1290" s="28">
        <v>66.433653800000002</v>
      </c>
      <c r="J1290" s="28">
        <v>982.61817799999994</v>
      </c>
      <c r="K1290" s="28">
        <v>953.57005900000001</v>
      </c>
      <c r="L1290" s="42">
        <v>6.0578060100000002</v>
      </c>
      <c r="M1290" s="28">
        <v>132.795793</v>
      </c>
      <c r="N1290" s="28">
        <v>1360.1693299999999</v>
      </c>
      <c r="O1290" s="28">
        <v>1087.0179800000001</v>
      </c>
      <c r="P1290" s="28">
        <v>912.98202000000003</v>
      </c>
    </row>
    <row r="1291" spans="1:16" x14ac:dyDescent="0.25">
      <c r="A1291" s="41">
        <v>5</v>
      </c>
      <c r="B1291" s="41">
        <v>29</v>
      </c>
      <c r="C1291" s="28">
        <v>16.1684342</v>
      </c>
      <c r="D1291" s="28">
        <v>6.60974941</v>
      </c>
      <c r="E1291" s="28">
        <v>29.732899700000001</v>
      </c>
      <c r="F1291" s="28">
        <v>23.816236</v>
      </c>
      <c r="G1291" s="28">
        <v>23.8004748</v>
      </c>
      <c r="H1291" s="28">
        <v>78.879281399999996</v>
      </c>
      <c r="I1291" s="28">
        <v>66.052998500000001</v>
      </c>
      <c r="J1291" s="28">
        <v>987.56890899999996</v>
      </c>
      <c r="K1291" s="28">
        <v>953.36319200000003</v>
      </c>
      <c r="L1291" s="42">
        <v>6.0094906000000003</v>
      </c>
      <c r="M1291" s="28">
        <v>132.629017</v>
      </c>
      <c r="N1291" s="28">
        <v>1338.0856000000001</v>
      </c>
      <c r="O1291" s="28">
        <v>1078.3482200000001</v>
      </c>
      <c r="P1291" s="28">
        <v>921.65178000000003</v>
      </c>
    </row>
    <row r="1292" spans="1:16" x14ac:dyDescent="0.25">
      <c r="A1292" s="41">
        <v>5</v>
      </c>
      <c r="B1292" s="41">
        <v>30</v>
      </c>
      <c r="C1292" s="28">
        <v>16.2478327</v>
      </c>
      <c r="D1292" s="28">
        <v>6.5777805599999999</v>
      </c>
      <c r="E1292" s="28">
        <v>29.553859500000002</v>
      </c>
      <c r="F1292" s="28">
        <v>24.001180099999999</v>
      </c>
      <c r="G1292" s="28">
        <v>24.157018900000001</v>
      </c>
      <c r="H1292" s="28">
        <v>80.021306699999997</v>
      </c>
      <c r="I1292" s="28">
        <v>66.835102899999995</v>
      </c>
      <c r="J1292" s="28">
        <v>982.96743100000003</v>
      </c>
      <c r="K1292" s="28">
        <v>953.59441300000003</v>
      </c>
      <c r="L1292" s="42">
        <v>6.1751322599999998</v>
      </c>
      <c r="M1292" s="28">
        <v>133.684505</v>
      </c>
      <c r="N1292" s="28">
        <v>1352.16722</v>
      </c>
      <c r="O1292" s="28">
        <v>1108.0711100000001</v>
      </c>
      <c r="P1292" s="28">
        <v>891.92889000000002</v>
      </c>
    </row>
    <row r="1293" spans="1:16" x14ac:dyDescent="0.25">
      <c r="A1293" s="41">
        <v>5</v>
      </c>
      <c r="B1293" s="41">
        <v>31</v>
      </c>
      <c r="C1293" s="28">
        <v>16.217798200000001</v>
      </c>
      <c r="D1293" s="28">
        <v>6.5481473399999999</v>
      </c>
      <c r="E1293" s="28">
        <v>29.196975599999998</v>
      </c>
      <c r="F1293" s="28">
        <v>24.124250499999999</v>
      </c>
      <c r="G1293" s="28">
        <v>24.261015400000002</v>
      </c>
      <c r="H1293" s="28">
        <v>79.018991900000003</v>
      </c>
      <c r="I1293" s="28">
        <v>66.704250799999997</v>
      </c>
      <c r="J1293" s="28">
        <v>988.82119399999999</v>
      </c>
      <c r="K1293" s="28">
        <v>955.33318499999996</v>
      </c>
      <c r="L1293" s="42">
        <v>6.1475690199999997</v>
      </c>
      <c r="M1293" s="28">
        <v>133.697722</v>
      </c>
      <c r="N1293" s="28">
        <v>1371.6334999999999</v>
      </c>
      <c r="O1293" s="28">
        <v>1103.1251299999999</v>
      </c>
      <c r="P1293" s="28">
        <v>896.87486999999999</v>
      </c>
    </row>
    <row r="1294" spans="1:16" x14ac:dyDescent="0.25">
      <c r="A1294" s="41">
        <v>5</v>
      </c>
      <c r="B1294" s="41">
        <v>32</v>
      </c>
      <c r="C1294" s="28">
        <v>16.178471800000001</v>
      </c>
      <c r="D1294" s="28">
        <v>6.5539385399999999</v>
      </c>
      <c r="E1294" s="28">
        <v>28.893049699999999</v>
      </c>
      <c r="F1294" s="28">
        <v>24.397330100000001</v>
      </c>
      <c r="G1294" s="28">
        <v>24.5317297</v>
      </c>
      <c r="H1294" s="28">
        <v>78.941993100000005</v>
      </c>
      <c r="I1294" s="28">
        <v>70.014475899999994</v>
      </c>
      <c r="J1294" s="28">
        <v>984.18660699999998</v>
      </c>
      <c r="K1294" s="28">
        <v>958.59752700000001</v>
      </c>
      <c r="L1294" s="42">
        <v>6.2168636599999996</v>
      </c>
      <c r="M1294" s="28">
        <v>134.66642400000001</v>
      </c>
      <c r="N1294" s="28">
        <v>1394.1133500000001</v>
      </c>
      <c r="O1294" s="28">
        <v>1115.55942</v>
      </c>
      <c r="P1294" s="28">
        <v>884.44057999999995</v>
      </c>
    </row>
    <row r="1295" spans="1:16" x14ac:dyDescent="0.25">
      <c r="A1295" s="41">
        <v>5</v>
      </c>
      <c r="B1295" s="41">
        <v>33</v>
      </c>
      <c r="C1295" s="28">
        <v>16.143557699999999</v>
      </c>
      <c r="D1295" s="28">
        <v>6.5982189599999996</v>
      </c>
      <c r="E1295" s="28">
        <v>28.957033899999999</v>
      </c>
      <c r="F1295" s="28">
        <v>24.731146299999999</v>
      </c>
      <c r="G1295" s="28">
        <v>24.5802473</v>
      </c>
      <c r="H1295" s="28">
        <v>77.6680396</v>
      </c>
      <c r="I1295" s="28">
        <v>69.6422515</v>
      </c>
      <c r="J1295" s="28">
        <v>988.81003099999998</v>
      </c>
      <c r="K1295" s="28">
        <v>957.74228700000003</v>
      </c>
      <c r="L1295" s="42">
        <v>6.1183573400000002</v>
      </c>
      <c r="M1295" s="28">
        <v>134.023943</v>
      </c>
      <c r="N1295" s="28">
        <v>1376.172</v>
      </c>
      <c r="O1295" s="28">
        <v>1097.88336</v>
      </c>
      <c r="P1295" s="28">
        <v>902.11663999999996</v>
      </c>
    </row>
    <row r="1296" spans="1:16" x14ac:dyDescent="0.25">
      <c r="A1296" s="41">
        <v>5</v>
      </c>
      <c r="B1296" s="41">
        <v>34</v>
      </c>
      <c r="C1296" s="28">
        <v>15.974884599999999</v>
      </c>
      <c r="D1296" s="28">
        <v>6.5342940900000004</v>
      </c>
      <c r="E1296" s="28">
        <v>29.022519500000001</v>
      </c>
      <c r="F1296" s="28">
        <v>24.564941900000001</v>
      </c>
      <c r="G1296" s="28">
        <v>24.465885700000001</v>
      </c>
      <c r="H1296" s="28">
        <v>77.3568772</v>
      </c>
      <c r="I1296" s="28">
        <v>68.111118200000007</v>
      </c>
      <c r="J1296" s="28">
        <v>984.80026099999998</v>
      </c>
      <c r="K1296" s="28">
        <v>949.37793799999997</v>
      </c>
      <c r="L1296" s="42">
        <v>6.0872803199999996</v>
      </c>
      <c r="M1296" s="28">
        <v>133.27631</v>
      </c>
      <c r="N1296" s="28">
        <v>1363.3497299999999</v>
      </c>
      <c r="O1296" s="28">
        <v>1092.3068800000001</v>
      </c>
      <c r="P1296" s="28">
        <v>907.69312000000002</v>
      </c>
    </row>
    <row r="1297" spans="1:16" x14ac:dyDescent="0.25">
      <c r="A1297" s="41">
        <v>5</v>
      </c>
      <c r="B1297" s="41">
        <v>35</v>
      </c>
      <c r="C1297" s="28">
        <v>16.029551399999999</v>
      </c>
      <c r="D1297" s="28">
        <v>6.6368627199999999</v>
      </c>
      <c r="E1297" s="28">
        <v>29.124713199999999</v>
      </c>
      <c r="F1297" s="28">
        <v>24.799329</v>
      </c>
      <c r="G1297" s="28">
        <v>24.661711499999999</v>
      </c>
      <c r="H1297" s="28">
        <v>78.500809799999999</v>
      </c>
      <c r="I1297" s="28">
        <v>68.482946699999999</v>
      </c>
      <c r="J1297" s="28">
        <v>988.55674099999999</v>
      </c>
      <c r="K1297" s="28">
        <v>950.07951800000001</v>
      </c>
      <c r="L1297" s="42">
        <v>6.1410155700000004</v>
      </c>
      <c r="M1297" s="28">
        <v>133.991928</v>
      </c>
      <c r="N1297" s="28">
        <v>1358.62168</v>
      </c>
      <c r="O1297" s="28">
        <v>1101.9491800000001</v>
      </c>
      <c r="P1297" s="28">
        <v>898.05082000000004</v>
      </c>
    </row>
    <row r="1298" spans="1:16" x14ac:dyDescent="0.25">
      <c r="A1298" s="41">
        <v>5</v>
      </c>
      <c r="B1298" s="41">
        <v>36</v>
      </c>
      <c r="C1298" s="28">
        <v>16.196383999999998</v>
      </c>
      <c r="D1298" s="28">
        <v>6.6754902200000004</v>
      </c>
      <c r="E1298" s="28">
        <v>29.304582199999999</v>
      </c>
      <c r="F1298" s="28">
        <v>24.959686099999999</v>
      </c>
      <c r="G1298" s="28">
        <v>24.574990499999998</v>
      </c>
      <c r="H1298" s="28">
        <v>79.6611805</v>
      </c>
      <c r="I1298" s="28">
        <v>68.146803800000001</v>
      </c>
      <c r="J1298" s="28">
        <v>983.82693900000004</v>
      </c>
      <c r="K1298" s="28">
        <v>953.615542</v>
      </c>
      <c r="L1298" s="42">
        <v>6.0263578100000004</v>
      </c>
      <c r="M1298" s="28">
        <v>134.866998</v>
      </c>
      <c r="N1298" s="28">
        <v>1363.6416099999999</v>
      </c>
      <c r="O1298" s="28">
        <v>1081.3748900000001</v>
      </c>
      <c r="P1298" s="28">
        <v>918.62510999999995</v>
      </c>
    </row>
    <row r="1299" spans="1:16" x14ac:dyDescent="0.25">
      <c r="A1299" s="41">
        <v>5</v>
      </c>
      <c r="B1299" s="41">
        <v>37</v>
      </c>
      <c r="C1299" s="28">
        <v>16.217925099999999</v>
      </c>
      <c r="D1299" s="28">
        <v>6.6614188199999997</v>
      </c>
      <c r="E1299" s="28">
        <v>29.7080737</v>
      </c>
      <c r="F1299" s="28">
        <v>24.822635099999999</v>
      </c>
      <c r="G1299" s="28">
        <v>24.759350699999999</v>
      </c>
      <c r="H1299" s="28">
        <v>80.479849999999999</v>
      </c>
      <c r="I1299" s="28">
        <v>68.610888000000003</v>
      </c>
      <c r="J1299" s="28">
        <v>987.823939</v>
      </c>
      <c r="K1299" s="28">
        <v>956.77758400000005</v>
      </c>
      <c r="L1299" s="42">
        <v>6.0494899599999998</v>
      </c>
      <c r="M1299" s="28">
        <v>135.90159700000001</v>
      </c>
      <c r="N1299" s="28">
        <v>1355.12492</v>
      </c>
      <c r="O1299" s="28">
        <v>1085.52574</v>
      </c>
      <c r="P1299" s="28">
        <v>914.47425999999996</v>
      </c>
    </row>
    <row r="1300" spans="1:16" x14ac:dyDescent="0.25">
      <c r="A1300" s="41">
        <v>5</v>
      </c>
      <c r="B1300" s="41">
        <v>38</v>
      </c>
      <c r="C1300" s="28">
        <v>16.197377800000002</v>
      </c>
      <c r="D1300" s="28">
        <v>6.64563302</v>
      </c>
      <c r="E1300" s="28">
        <v>29.7305879</v>
      </c>
      <c r="F1300" s="28">
        <v>24.683529799999999</v>
      </c>
      <c r="G1300" s="28">
        <v>24.880227000000001</v>
      </c>
      <c r="H1300" s="28">
        <v>80.429261800000006</v>
      </c>
      <c r="I1300" s="28">
        <v>68.3625574</v>
      </c>
      <c r="J1300" s="28">
        <v>983.58752900000002</v>
      </c>
      <c r="K1300" s="28">
        <v>958.08749299999999</v>
      </c>
      <c r="L1300" s="42">
        <v>6.0653547300000001</v>
      </c>
      <c r="M1300" s="28">
        <v>135.268914</v>
      </c>
      <c r="N1300" s="28">
        <v>1372.02333</v>
      </c>
      <c r="O1300" s="28">
        <v>1088.3725300000001</v>
      </c>
      <c r="P1300" s="28">
        <v>911.62747000000002</v>
      </c>
    </row>
    <row r="1301" spans="1:16" x14ac:dyDescent="0.25">
      <c r="A1301" s="41">
        <v>5</v>
      </c>
      <c r="B1301" s="41">
        <v>39</v>
      </c>
      <c r="C1301" s="28">
        <v>16.0934287</v>
      </c>
      <c r="D1301" s="28">
        <v>6.7241928</v>
      </c>
      <c r="E1301" s="28">
        <v>29.9770091</v>
      </c>
      <c r="F1301" s="28">
        <v>24.684990800000001</v>
      </c>
      <c r="G1301" s="28">
        <v>24.460858000000002</v>
      </c>
      <c r="H1301" s="28">
        <v>81.132823599999995</v>
      </c>
      <c r="I1301" s="28">
        <v>67.609276699999995</v>
      </c>
      <c r="J1301" s="28">
        <v>987.16625999999997</v>
      </c>
      <c r="K1301" s="28">
        <v>958.308718</v>
      </c>
      <c r="L1301" s="42">
        <v>6.0078996</v>
      </c>
      <c r="M1301" s="28">
        <v>135.34329</v>
      </c>
      <c r="N1301" s="28">
        <v>1360.5582400000001</v>
      </c>
      <c r="O1301" s="28">
        <v>1078.0627300000001</v>
      </c>
      <c r="P1301" s="28">
        <v>921.93727000000001</v>
      </c>
    </row>
    <row r="1302" spans="1:16" x14ac:dyDescent="0.25">
      <c r="A1302" s="41">
        <v>5</v>
      </c>
      <c r="B1302" s="41">
        <v>40</v>
      </c>
      <c r="C1302" s="28">
        <v>16.1886881</v>
      </c>
      <c r="D1302" s="28">
        <v>6.7392540199999997</v>
      </c>
      <c r="E1302" s="28">
        <v>29.920320799999999</v>
      </c>
      <c r="F1302" s="28">
        <v>24.966211099999999</v>
      </c>
      <c r="G1302" s="28">
        <v>24.173866100000001</v>
      </c>
      <c r="H1302" s="28">
        <v>79.605992900000004</v>
      </c>
      <c r="I1302" s="28">
        <v>66.617549800000006</v>
      </c>
      <c r="J1302" s="28">
        <v>983.46828600000003</v>
      </c>
      <c r="K1302" s="28">
        <v>958.97913500000004</v>
      </c>
      <c r="L1302" s="42">
        <v>6.02005167</v>
      </c>
      <c r="M1302" s="28">
        <v>134.48235500000001</v>
      </c>
      <c r="N1302" s="28">
        <v>1362.53935</v>
      </c>
      <c r="O1302" s="28">
        <v>1080.2433100000001</v>
      </c>
      <c r="P1302" s="28">
        <v>919.75669000000005</v>
      </c>
    </row>
    <row r="1303" spans="1:16" x14ac:dyDescent="0.25">
      <c r="A1303" s="41">
        <v>5</v>
      </c>
      <c r="B1303" s="41">
        <v>41</v>
      </c>
      <c r="C1303" s="28">
        <v>16.121140100000002</v>
      </c>
      <c r="D1303" s="28">
        <v>6.7422970800000002</v>
      </c>
      <c r="E1303" s="28">
        <v>30.290461400000002</v>
      </c>
      <c r="F1303" s="28">
        <v>25.126010999999998</v>
      </c>
      <c r="G1303" s="28">
        <v>24.294357999999999</v>
      </c>
      <c r="H1303" s="28">
        <v>80.421143000000001</v>
      </c>
      <c r="I1303" s="28">
        <v>66.455729099999999</v>
      </c>
      <c r="J1303" s="28">
        <v>987.18324600000005</v>
      </c>
      <c r="K1303" s="28">
        <v>956.07671000000005</v>
      </c>
      <c r="L1303" s="42">
        <v>5.9917838699999999</v>
      </c>
      <c r="M1303" s="28">
        <v>134.852723</v>
      </c>
      <c r="N1303" s="28">
        <v>1359.9404</v>
      </c>
      <c r="O1303" s="28">
        <v>1075.17091</v>
      </c>
      <c r="P1303" s="28">
        <v>924.82908999999995</v>
      </c>
    </row>
    <row r="1304" spans="1:16" x14ac:dyDescent="0.25">
      <c r="A1304" s="41">
        <v>5</v>
      </c>
      <c r="B1304" s="41">
        <v>42</v>
      </c>
      <c r="C1304" s="28">
        <v>16.174212099999998</v>
      </c>
      <c r="D1304" s="28">
        <v>6.7270827200000003</v>
      </c>
      <c r="E1304" s="28">
        <v>30.3863266</v>
      </c>
      <c r="F1304" s="28">
        <v>25.039657699999999</v>
      </c>
      <c r="G1304" s="28">
        <v>24.2706534</v>
      </c>
      <c r="H1304" s="28">
        <v>80.660479100000003</v>
      </c>
      <c r="I1304" s="28">
        <v>65.341369</v>
      </c>
      <c r="J1304" s="28">
        <v>983.20368299999996</v>
      </c>
      <c r="K1304" s="28">
        <v>954.31954199999996</v>
      </c>
      <c r="L1304" s="42">
        <v>6.0309102899999996</v>
      </c>
      <c r="M1304" s="28">
        <v>135.29302799999999</v>
      </c>
      <c r="N1304" s="28">
        <v>1365.04441</v>
      </c>
      <c r="O1304" s="28">
        <v>1082.1917900000001</v>
      </c>
      <c r="P1304" s="28">
        <v>917.80821000000003</v>
      </c>
    </row>
    <row r="1305" spans="1:16" x14ac:dyDescent="0.25">
      <c r="A1305" s="41">
        <v>5</v>
      </c>
      <c r="B1305" s="41">
        <v>43</v>
      </c>
      <c r="C1305" s="28">
        <v>16.212875400000001</v>
      </c>
      <c r="D1305" s="28">
        <v>6.7291042299999999</v>
      </c>
      <c r="E1305" s="28">
        <v>30.632907599999999</v>
      </c>
      <c r="F1305" s="28">
        <v>24.5421172</v>
      </c>
      <c r="G1305" s="28">
        <v>24.329886299999998</v>
      </c>
      <c r="H1305" s="28">
        <v>80.306494599999994</v>
      </c>
      <c r="I1305" s="28">
        <v>64.773074100000002</v>
      </c>
      <c r="J1305" s="28">
        <v>987.11379699999998</v>
      </c>
      <c r="K1305" s="28">
        <v>956.88471300000003</v>
      </c>
      <c r="L1305" s="42">
        <v>6.0571598599999996</v>
      </c>
      <c r="M1305" s="28">
        <v>134.63735500000001</v>
      </c>
      <c r="N1305" s="28">
        <v>1392.25982</v>
      </c>
      <c r="O1305" s="28">
        <v>1086.9020399999999</v>
      </c>
      <c r="P1305" s="28">
        <v>913.09795999999994</v>
      </c>
    </row>
    <row r="1306" spans="1:16" x14ac:dyDescent="0.25">
      <c r="A1306" s="41">
        <v>5</v>
      </c>
      <c r="B1306" s="41">
        <v>44</v>
      </c>
      <c r="C1306" s="28">
        <v>16.139797699999999</v>
      </c>
      <c r="D1306" s="28">
        <v>6.7610025199999999</v>
      </c>
      <c r="E1306" s="28">
        <v>30.724529199999999</v>
      </c>
      <c r="F1306" s="28">
        <v>24.532762000000002</v>
      </c>
      <c r="G1306" s="28">
        <v>24.372617000000002</v>
      </c>
      <c r="H1306" s="28">
        <v>81.023940199999998</v>
      </c>
      <c r="I1306" s="28">
        <v>65.175262000000004</v>
      </c>
      <c r="J1306" s="28">
        <v>982.36534400000005</v>
      </c>
      <c r="K1306" s="28">
        <v>959.11128399999996</v>
      </c>
      <c r="L1306" s="42">
        <v>6.0544799899999999</v>
      </c>
      <c r="M1306" s="28">
        <v>134.439177</v>
      </c>
      <c r="N1306" s="28">
        <v>1386.70327</v>
      </c>
      <c r="O1306" s="28">
        <v>1086.4211600000001</v>
      </c>
      <c r="P1306" s="28">
        <v>913.57884000000001</v>
      </c>
    </row>
    <row r="1307" spans="1:16" x14ac:dyDescent="0.25">
      <c r="A1307" s="41">
        <v>5</v>
      </c>
      <c r="B1307" s="41">
        <v>45</v>
      </c>
      <c r="C1307" s="28">
        <v>16.2201649</v>
      </c>
      <c r="D1307" s="28">
        <v>6.82233482</v>
      </c>
      <c r="E1307" s="28">
        <v>30.919110400000001</v>
      </c>
      <c r="F1307" s="28">
        <v>24.439456</v>
      </c>
      <c r="G1307" s="28">
        <v>24.556447500000001</v>
      </c>
      <c r="H1307" s="28">
        <v>80.096862799999997</v>
      </c>
      <c r="I1307" s="28">
        <v>64.9556185</v>
      </c>
      <c r="J1307" s="28">
        <v>985.87341000000004</v>
      </c>
      <c r="K1307" s="28">
        <v>954.99613799999997</v>
      </c>
      <c r="L1307" s="42">
        <v>6.0973359599999997</v>
      </c>
      <c r="M1307" s="28">
        <v>134.67111399999999</v>
      </c>
      <c r="N1307" s="28">
        <v>1401.41237</v>
      </c>
      <c r="O1307" s="28">
        <v>1094.1112700000001</v>
      </c>
      <c r="P1307" s="28">
        <v>905.88873000000001</v>
      </c>
    </row>
    <row r="1308" spans="1:16" x14ac:dyDescent="0.25">
      <c r="A1308" s="41">
        <v>5</v>
      </c>
      <c r="B1308" s="41">
        <v>46</v>
      </c>
      <c r="C1308" s="28">
        <v>16.251943000000001</v>
      </c>
      <c r="D1308" s="28">
        <v>6.7610980300000003</v>
      </c>
      <c r="E1308" s="28">
        <v>30.938087599999999</v>
      </c>
      <c r="F1308" s="28">
        <v>24.433851700000002</v>
      </c>
      <c r="G1308" s="28">
        <v>24.6071001</v>
      </c>
      <c r="H1308" s="28">
        <v>79.651820799999996</v>
      </c>
      <c r="I1308" s="28">
        <v>64.965535099999997</v>
      </c>
      <c r="J1308" s="28">
        <v>982.33081500000003</v>
      </c>
      <c r="K1308" s="28">
        <v>955.88012600000002</v>
      </c>
      <c r="L1308" s="42">
        <v>6.07605489</v>
      </c>
      <c r="M1308" s="28">
        <v>134.998818</v>
      </c>
      <c r="N1308" s="28">
        <v>1425.7968000000001</v>
      </c>
      <c r="O1308" s="28">
        <v>1090.29258</v>
      </c>
      <c r="P1308" s="28">
        <v>909.70741999999996</v>
      </c>
    </row>
    <row r="1309" spans="1:16" x14ac:dyDescent="0.25">
      <c r="A1309" s="41">
        <v>5</v>
      </c>
      <c r="B1309" s="41">
        <v>47</v>
      </c>
      <c r="C1309" s="28">
        <v>16.179063599999999</v>
      </c>
      <c r="D1309" s="28">
        <v>6.8538156900000002</v>
      </c>
      <c r="E1309" s="28">
        <v>31.010336299999999</v>
      </c>
      <c r="F1309" s="28">
        <v>24.560261499999999</v>
      </c>
      <c r="G1309" s="28">
        <v>24.587539700000001</v>
      </c>
      <c r="H1309" s="28">
        <v>79.825075999999996</v>
      </c>
      <c r="I1309" s="28">
        <v>65.600730999999996</v>
      </c>
      <c r="J1309" s="28">
        <v>985.49602000000004</v>
      </c>
      <c r="K1309" s="28">
        <v>959.84184800000003</v>
      </c>
      <c r="L1309" s="42">
        <v>5.9640855699999999</v>
      </c>
      <c r="M1309" s="28">
        <v>135.701063</v>
      </c>
      <c r="N1309" s="28">
        <v>1406.2102400000001</v>
      </c>
      <c r="O1309" s="28">
        <v>1070.2007000000001</v>
      </c>
      <c r="P1309" s="28">
        <v>929.79930000000002</v>
      </c>
    </row>
    <row r="1310" spans="1:16" x14ac:dyDescent="0.25">
      <c r="A1310" s="41">
        <v>5</v>
      </c>
      <c r="B1310" s="41">
        <v>48</v>
      </c>
      <c r="C1310" s="28">
        <v>16.0386436</v>
      </c>
      <c r="D1310" s="28">
        <v>6.8117922899999996</v>
      </c>
      <c r="E1310" s="28">
        <v>30.733307100000001</v>
      </c>
      <c r="F1310" s="28">
        <v>24.344207600000001</v>
      </c>
      <c r="G1310" s="28">
        <v>24.629843000000001</v>
      </c>
      <c r="H1310" s="28">
        <v>77.307357600000003</v>
      </c>
      <c r="I1310" s="28">
        <v>65.307904899999997</v>
      </c>
      <c r="J1310" s="28">
        <v>982.29953799999998</v>
      </c>
      <c r="K1310" s="28">
        <v>956.73132299999997</v>
      </c>
      <c r="L1310" s="42">
        <v>6.0576723799999996</v>
      </c>
      <c r="M1310" s="28">
        <v>134.90732399999999</v>
      </c>
      <c r="N1310" s="28">
        <v>1387.78178</v>
      </c>
      <c r="O1310" s="28">
        <v>1086.9939999999999</v>
      </c>
      <c r="P1310" s="28">
        <v>913.00599999999997</v>
      </c>
    </row>
    <row r="1311" spans="1:16" x14ac:dyDescent="0.25">
      <c r="A1311" s="41">
        <v>5</v>
      </c>
      <c r="B1311" s="41">
        <v>49</v>
      </c>
      <c r="C1311" s="28">
        <v>16.058779699999999</v>
      </c>
      <c r="D1311" s="28">
        <v>6.8103444800000004</v>
      </c>
      <c r="E1311" s="28">
        <v>30.664813200000001</v>
      </c>
      <c r="F1311" s="28">
        <v>24.529954400000001</v>
      </c>
      <c r="G1311" s="28">
        <v>24.487302100000001</v>
      </c>
      <c r="H1311" s="28">
        <v>76.618339899999995</v>
      </c>
      <c r="I1311" s="28">
        <v>65.094910900000002</v>
      </c>
      <c r="J1311" s="28">
        <v>986.80821500000002</v>
      </c>
      <c r="K1311" s="28">
        <v>956.75748399999998</v>
      </c>
      <c r="L1311" s="42">
        <v>6.0067472000000004</v>
      </c>
      <c r="M1311" s="28">
        <v>135.03354100000001</v>
      </c>
      <c r="N1311" s="28">
        <v>1369.3688099999999</v>
      </c>
      <c r="O1311" s="28">
        <v>1077.8559399999999</v>
      </c>
      <c r="P1311" s="28">
        <v>922.14405999999997</v>
      </c>
    </row>
    <row r="1312" spans="1:16" x14ac:dyDescent="0.25">
      <c r="A1312" s="41">
        <v>5</v>
      </c>
      <c r="B1312" s="41">
        <v>50</v>
      </c>
      <c r="C1312" s="28">
        <v>16.036861600000002</v>
      </c>
      <c r="D1312" s="28">
        <v>6.7790886400000003</v>
      </c>
      <c r="E1312" s="28">
        <v>30.498299299999999</v>
      </c>
      <c r="F1312" s="28">
        <v>24.7170348</v>
      </c>
      <c r="G1312" s="28">
        <v>24.714865</v>
      </c>
      <c r="H1312" s="28">
        <v>76.7063354</v>
      </c>
      <c r="I1312" s="28">
        <v>65.076483499999995</v>
      </c>
      <c r="J1312" s="28">
        <v>983.38263700000005</v>
      </c>
      <c r="K1312" s="28">
        <v>961.919847</v>
      </c>
      <c r="L1312" s="42">
        <v>5.9717620599999997</v>
      </c>
      <c r="M1312" s="28">
        <v>134.728939</v>
      </c>
      <c r="N1312" s="28">
        <v>1382.1416999999999</v>
      </c>
      <c r="O1312" s="28">
        <v>1071.57818</v>
      </c>
      <c r="P1312" s="28">
        <v>928.42182000000003</v>
      </c>
    </row>
    <row r="1313" spans="1:16" x14ac:dyDescent="0.25">
      <c r="A1313" s="41">
        <v>5</v>
      </c>
      <c r="B1313" s="41">
        <v>51</v>
      </c>
      <c r="C1313" s="28">
        <v>15.9323882</v>
      </c>
      <c r="D1313" s="28">
        <v>6.7323100800000004</v>
      </c>
      <c r="E1313" s="28">
        <v>30.529935800000001</v>
      </c>
      <c r="F1313" s="28">
        <v>24.9150788</v>
      </c>
      <c r="G1313" s="28">
        <v>24.4478653</v>
      </c>
      <c r="H1313" s="28">
        <v>77.641652800000003</v>
      </c>
      <c r="I1313" s="28">
        <v>64.868278500000002</v>
      </c>
      <c r="J1313" s="28">
        <v>987.87771899999996</v>
      </c>
      <c r="K1313" s="28">
        <v>962.00426200000004</v>
      </c>
      <c r="L1313" s="42">
        <v>5.93388122</v>
      </c>
      <c r="M1313" s="28">
        <v>134.59873899999999</v>
      </c>
      <c r="N1313" s="28">
        <v>1355.9252100000001</v>
      </c>
      <c r="O1313" s="28">
        <v>1064.78081</v>
      </c>
      <c r="P1313" s="28">
        <v>935.21919000000003</v>
      </c>
    </row>
    <row r="1314" spans="1:16" x14ac:dyDescent="0.25">
      <c r="A1314" s="41">
        <v>5</v>
      </c>
      <c r="B1314" s="41">
        <v>52</v>
      </c>
      <c r="C1314" s="28">
        <v>16.050559100000001</v>
      </c>
      <c r="D1314" s="28">
        <v>6.6945969700000001</v>
      </c>
      <c r="E1314" s="28">
        <v>30.591283900000001</v>
      </c>
      <c r="F1314" s="28">
        <v>24.839616700000001</v>
      </c>
      <c r="G1314" s="28">
        <v>24.4074949</v>
      </c>
      <c r="H1314" s="28">
        <v>76.869199199999997</v>
      </c>
      <c r="I1314" s="28">
        <v>64.545942999999994</v>
      </c>
      <c r="J1314" s="28">
        <v>984.497435</v>
      </c>
      <c r="K1314" s="28">
        <v>963.465192</v>
      </c>
      <c r="L1314" s="42">
        <v>5.9260465599999996</v>
      </c>
      <c r="M1314" s="28">
        <v>134.179877</v>
      </c>
      <c r="N1314" s="28">
        <v>1349.5363600000001</v>
      </c>
      <c r="O1314" s="28">
        <v>1063.3749499999999</v>
      </c>
      <c r="P1314" s="28">
        <v>936.62504999999999</v>
      </c>
    </row>
    <row r="1315" spans="1:16" x14ac:dyDescent="0.25">
      <c r="A1315" s="41">
        <v>5</v>
      </c>
      <c r="B1315" s="41">
        <v>53</v>
      </c>
      <c r="C1315" s="28">
        <v>16.003820000000001</v>
      </c>
      <c r="D1315" s="28">
        <v>6.6670844300000001</v>
      </c>
      <c r="E1315" s="28">
        <v>30.690619300000002</v>
      </c>
      <c r="F1315" s="28">
        <v>25.0512245</v>
      </c>
      <c r="G1315" s="28">
        <v>24.431631200000002</v>
      </c>
      <c r="H1315" s="28">
        <v>75.473241599999994</v>
      </c>
      <c r="I1315" s="28">
        <v>64.216164000000006</v>
      </c>
      <c r="J1315" s="28">
        <v>988.74228500000004</v>
      </c>
      <c r="K1315" s="28">
        <v>970.12602700000002</v>
      </c>
      <c r="L1315" s="42">
        <v>5.8886325199999998</v>
      </c>
      <c r="M1315" s="28">
        <v>133.98637099999999</v>
      </c>
      <c r="N1315" s="28">
        <v>1370.37175</v>
      </c>
      <c r="O1315" s="28">
        <v>1056.6613400000001</v>
      </c>
      <c r="P1315" s="28">
        <v>943.33866</v>
      </c>
    </row>
    <row r="1316" spans="1:16" x14ac:dyDescent="0.25">
      <c r="A1316" s="41">
        <v>5</v>
      </c>
      <c r="B1316" s="41">
        <v>54</v>
      </c>
      <c r="C1316" s="28">
        <v>15.9140941</v>
      </c>
      <c r="D1316" s="28">
        <v>6.75341799</v>
      </c>
      <c r="E1316" s="28">
        <v>30.683618200000002</v>
      </c>
      <c r="F1316" s="28">
        <v>24.955610799999999</v>
      </c>
      <c r="G1316" s="28">
        <v>24.662291199999999</v>
      </c>
      <c r="H1316" s="28">
        <v>74.601714799999996</v>
      </c>
      <c r="I1316" s="28">
        <v>63.7826004</v>
      </c>
      <c r="J1316" s="28">
        <v>984.06967899999995</v>
      </c>
      <c r="K1316" s="28">
        <v>972.05261800000005</v>
      </c>
      <c r="L1316" s="42">
        <v>5.8427313400000003</v>
      </c>
      <c r="M1316" s="28">
        <v>133.65282300000001</v>
      </c>
      <c r="N1316" s="28">
        <v>1377.90463</v>
      </c>
      <c r="O1316" s="28">
        <v>1048.42479</v>
      </c>
      <c r="P1316" s="28">
        <v>951.57520999999997</v>
      </c>
    </row>
    <row r="1317" spans="1:16" x14ac:dyDescent="0.25">
      <c r="A1317" s="41">
        <v>5</v>
      </c>
      <c r="B1317" s="41">
        <v>55</v>
      </c>
      <c r="C1317" s="28">
        <v>15.844507999999999</v>
      </c>
      <c r="D1317" s="28">
        <v>6.8435317400000004</v>
      </c>
      <c r="E1317" s="28">
        <v>31.283186300000001</v>
      </c>
      <c r="F1317" s="28">
        <v>25.435467500000001</v>
      </c>
      <c r="G1317" s="28">
        <v>24.988844</v>
      </c>
      <c r="H1317" s="28">
        <v>74.969918100000001</v>
      </c>
      <c r="I1317" s="28">
        <v>65.297298799999993</v>
      </c>
      <c r="J1317" s="28">
        <v>986.10801500000002</v>
      </c>
      <c r="K1317" s="28">
        <v>974.31198500000005</v>
      </c>
      <c r="L1317" s="42">
        <v>5.98451866</v>
      </c>
      <c r="M1317" s="28">
        <v>135.42600300000001</v>
      </c>
      <c r="N1317" s="28">
        <v>1388.0089599999999</v>
      </c>
      <c r="O1317" s="28">
        <v>1073.8672300000001</v>
      </c>
      <c r="P1317" s="28">
        <v>926.13277000000005</v>
      </c>
    </row>
    <row r="1318" spans="1:16" x14ac:dyDescent="0.25">
      <c r="A1318" s="41">
        <v>5</v>
      </c>
      <c r="B1318" s="41">
        <v>56</v>
      </c>
      <c r="C1318" s="28">
        <v>15.7624885</v>
      </c>
      <c r="D1318" s="28">
        <v>6.8463836999999996</v>
      </c>
      <c r="E1318" s="28">
        <v>30.900358399999998</v>
      </c>
      <c r="F1318" s="28">
        <v>25.181063900000002</v>
      </c>
      <c r="G1318" s="28">
        <v>25.0719569</v>
      </c>
      <c r="H1318" s="28">
        <v>76.6798371</v>
      </c>
      <c r="I1318" s="28">
        <v>64.880693500000007</v>
      </c>
      <c r="J1318" s="28">
        <v>982.58389299999999</v>
      </c>
      <c r="K1318" s="28">
        <v>965.45149700000002</v>
      </c>
      <c r="L1318" s="42">
        <v>6.1229357000000002</v>
      </c>
      <c r="M1318" s="28">
        <v>135.52166299999999</v>
      </c>
      <c r="N1318" s="28">
        <v>1377.82475</v>
      </c>
      <c r="O1318" s="28">
        <v>1098.7049099999999</v>
      </c>
      <c r="P1318" s="28">
        <v>901.29508999999996</v>
      </c>
    </row>
    <row r="1319" spans="1:16" x14ac:dyDescent="0.25">
      <c r="A1319" s="41">
        <v>5</v>
      </c>
      <c r="B1319" s="41">
        <v>57</v>
      </c>
      <c r="C1319" s="28">
        <v>15.7861093</v>
      </c>
      <c r="D1319" s="28">
        <v>6.8862708499999998</v>
      </c>
      <c r="E1319" s="28">
        <v>30.872222799999999</v>
      </c>
      <c r="F1319" s="28">
        <v>25.3191451</v>
      </c>
      <c r="G1319" s="28">
        <v>24.956018700000001</v>
      </c>
      <c r="H1319" s="28">
        <v>77.495629800000003</v>
      </c>
      <c r="I1319" s="28">
        <v>65.776136600000001</v>
      </c>
      <c r="J1319" s="28">
        <v>986.20116800000005</v>
      </c>
      <c r="K1319" s="28">
        <v>965.01128600000004</v>
      </c>
      <c r="L1319" s="42">
        <v>6.14050121</v>
      </c>
      <c r="M1319" s="28">
        <v>136.000843</v>
      </c>
      <c r="N1319" s="28">
        <v>1390.92797</v>
      </c>
      <c r="O1319" s="28">
        <v>1101.85688</v>
      </c>
      <c r="P1319" s="28">
        <v>898.14311999999995</v>
      </c>
    </row>
    <row r="1320" spans="1:16" x14ac:dyDescent="0.25">
      <c r="A1320" s="41">
        <v>5</v>
      </c>
      <c r="B1320" s="41">
        <v>58</v>
      </c>
      <c r="C1320" s="28">
        <v>15.7124085</v>
      </c>
      <c r="D1320" s="28">
        <v>6.8074222899999999</v>
      </c>
      <c r="E1320" s="28">
        <v>30.8774336</v>
      </c>
      <c r="F1320" s="28">
        <v>25.2384831</v>
      </c>
      <c r="G1320" s="28">
        <v>24.752965799999998</v>
      </c>
      <c r="H1320" s="28">
        <v>76.673022799999998</v>
      </c>
      <c r="I1320" s="28">
        <v>65.624426499999998</v>
      </c>
      <c r="J1320" s="28">
        <v>983.190742</v>
      </c>
      <c r="K1320" s="28">
        <v>963.72774300000003</v>
      </c>
      <c r="L1320" s="42">
        <v>6.0834919899999997</v>
      </c>
      <c r="M1320" s="28">
        <v>135.37972300000001</v>
      </c>
      <c r="N1320" s="28">
        <v>1408.55313</v>
      </c>
      <c r="O1320" s="28">
        <v>1091.6270999999999</v>
      </c>
      <c r="P1320" s="28">
        <v>908.37289999999996</v>
      </c>
    </row>
    <row r="1321" spans="1:16" x14ac:dyDescent="0.25">
      <c r="A1321" s="41">
        <v>5</v>
      </c>
      <c r="B1321" s="41">
        <v>59</v>
      </c>
      <c r="C1321" s="28">
        <v>15.6788025</v>
      </c>
      <c r="D1321" s="28">
        <v>6.7968638500000003</v>
      </c>
      <c r="E1321" s="28">
        <v>30.8832594</v>
      </c>
      <c r="F1321" s="28">
        <v>25.378942299999999</v>
      </c>
      <c r="G1321" s="28">
        <v>24.869354900000001</v>
      </c>
      <c r="H1321" s="28">
        <v>76.437566700000005</v>
      </c>
      <c r="I1321" s="28">
        <v>65.670168500000003</v>
      </c>
      <c r="J1321" s="28">
        <v>987.14442899999995</v>
      </c>
      <c r="K1321" s="28">
        <v>967.64204900000004</v>
      </c>
      <c r="L1321" s="42">
        <v>6.1886986799999999</v>
      </c>
      <c r="M1321" s="28">
        <v>136.26764600000001</v>
      </c>
      <c r="N1321" s="28">
        <v>1399.4533699999999</v>
      </c>
      <c r="O1321" s="28">
        <v>1110.50548</v>
      </c>
      <c r="P1321" s="28">
        <v>889.49451999999997</v>
      </c>
    </row>
    <row r="1322" spans="1:16" x14ac:dyDescent="0.25">
      <c r="A1322" s="41">
        <v>5</v>
      </c>
      <c r="B1322" s="41">
        <v>60</v>
      </c>
      <c r="C1322" s="28">
        <v>15.771806700000001</v>
      </c>
      <c r="D1322" s="28">
        <v>6.7942840699999998</v>
      </c>
      <c r="E1322" s="28">
        <v>30.920473999999999</v>
      </c>
      <c r="F1322" s="28">
        <v>25.079234700000001</v>
      </c>
      <c r="G1322" s="28">
        <v>24.3363668</v>
      </c>
      <c r="H1322" s="28">
        <v>76.504119399999993</v>
      </c>
      <c r="I1322" s="28">
        <v>65.456073599999996</v>
      </c>
      <c r="J1322" s="28">
        <v>983.80573300000003</v>
      </c>
      <c r="K1322" s="28">
        <v>971.480683</v>
      </c>
      <c r="L1322" s="42">
        <v>6.1348570000000002</v>
      </c>
      <c r="M1322" s="28">
        <v>135.774101</v>
      </c>
      <c r="N1322" s="28">
        <v>1395.12571</v>
      </c>
      <c r="O1322" s="28">
        <v>1100.8440800000001</v>
      </c>
      <c r="P1322" s="28">
        <v>899.15592000000004</v>
      </c>
    </row>
    <row r="1323" spans="1:16" x14ac:dyDescent="0.25">
      <c r="A1323" s="41">
        <v>5</v>
      </c>
      <c r="B1323" s="41">
        <v>61</v>
      </c>
      <c r="C1323" s="28">
        <v>15.891733199999999</v>
      </c>
      <c r="D1323" s="28">
        <v>6.8416650099999998</v>
      </c>
      <c r="E1323" s="28">
        <v>31.260360500000001</v>
      </c>
      <c r="F1323" s="28">
        <v>25.3276845</v>
      </c>
      <c r="G1323" s="28">
        <v>24.7334073</v>
      </c>
      <c r="H1323" s="28">
        <v>76.989848499999994</v>
      </c>
      <c r="I1323" s="28">
        <v>65.859426900000003</v>
      </c>
      <c r="J1323" s="28">
        <v>986.77133600000002</v>
      </c>
      <c r="K1323" s="28">
        <v>978.73661200000004</v>
      </c>
      <c r="L1323" s="42">
        <v>6.1528718700000002</v>
      </c>
      <c r="M1323" s="28">
        <v>136.72548699999999</v>
      </c>
      <c r="N1323" s="28">
        <v>1389.6220000000001</v>
      </c>
      <c r="O1323" s="28">
        <v>1104.0766799999999</v>
      </c>
      <c r="P1323" s="28">
        <v>895.92331999999999</v>
      </c>
    </row>
    <row r="1324" spans="1:16" x14ac:dyDescent="0.25">
      <c r="A1324" s="41">
        <v>5</v>
      </c>
      <c r="B1324" s="41">
        <v>62</v>
      </c>
      <c r="C1324" s="28">
        <v>15.940468900000001</v>
      </c>
      <c r="D1324" s="28">
        <v>6.9200570700000004</v>
      </c>
      <c r="E1324" s="28">
        <v>31.361472899999999</v>
      </c>
      <c r="F1324" s="28">
        <v>25.376453000000001</v>
      </c>
      <c r="G1324" s="28">
        <v>24.673781099999999</v>
      </c>
      <c r="H1324" s="28">
        <v>77.982088099999999</v>
      </c>
      <c r="I1324" s="28">
        <v>65.118308600000006</v>
      </c>
      <c r="J1324" s="28">
        <v>982.790119</v>
      </c>
      <c r="K1324" s="28">
        <v>973.63999200000001</v>
      </c>
      <c r="L1324" s="42">
        <v>6.2812359500000001</v>
      </c>
      <c r="M1324" s="28">
        <v>136.896413</v>
      </c>
      <c r="N1324" s="28">
        <v>1373.40247</v>
      </c>
      <c r="O1324" s="28">
        <v>1127.1104399999999</v>
      </c>
      <c r="P1324" s="28">
        <v>872.88955999999996</v>
      </c>
    </row>
    <row r="1325" spans="1:16" x14ac:dyDescent="0.25">
      <c r="A1325" s="41">
        <v>5</v>
      </c>
      <c r="B1325" s="41">
        <v>63</v>
      </c>
      <c r="C1325" s="28">
        <v>15.9914776</v>
      </c>
      <c r="D1325" s="28">
        <v>6.9189003099999997</v>
      </c>
      <c r="E1325" s="28">
        <v>31.6353154</v>
      </c>
      <c r="F1325" s="28">
        <v>25.625318199999999</v>
      </c>
      <c r="G1325" s="28">
        <v>25.027182700000001</v>
      </c>
      <c r="H1325" s="28">
        <v>77.674288700000005</v>
      </c>
      <c r="I1325" s="28">
        <v>65.058383000000006</v>
      </c>
      <c r="J1325" s="28">
        <v>986.27903500000002</v>
      </c>
      <c r="K1325" s="28">
        <v>975.86777099999995</v>
      </c>
      <c r="L1325" s="42">
        <v>6.2498001900000002</v>
      </c>
      <c r="M1325" s="28">
        <v>137.42715699999999</v>
      </c>
      <c r="N1325" s="28">
        <v>1390.54882</v>
      </c>
      <c r="O1325" s="28">
        <v>1121.46958</v>
      </c>
      <c r="P1325" s="28">
        <v>878.53042000000005</v>
      </c>
    </row>
    <row r="1326" spans="1:16" x14ac:dyDescent="0.25">
      <c r="A1326" s="41">
        <v>5</v>
      </c>
      <c r="B1326" s="41">
        <v>64</v>
      </c>
      <c r="C1326" s="28">
        <v>15.9889043</v>
      </c>
      <c r="D1326" s="28">
        <v>6.9782778199999997</v>
      </c>
      <c r="E1326" s="28">
        <v>31.859918</v>
      </c>
      <c r="F1326" s="28">
        <v>25.653887399999999</v>
      </c>
      <c r="G1326" s="28">
        <v>25.076284399999999</v>
      </c>
      <c r="H1326" s="28">
        <v>78.522316399999994</v>
      </c>
      <c r="I1326" s="28">
        <v>64.918422500000005</v>
      </c>
      <c r="J1326" s="28">
        <v>982.23884799999996</v>
      </c>
      <c r="K1326" s="28">
        <v>973.16100200000005</v>
      </c>
      <c r="L1326" s="42">
        <v>6.2968363900000002</v>
      </c>
      <c r="M1326" s="28">
        <v>137.976753</v>
      </c>
      <c r="N1326" s="28">
        <v>1394.8910599999999</v>
      </c>
      <c r="O1326" s="28">
        <v>1129.9097999999999</v>
      </c>
      <c r="P1326" s="28">
        <v>870.09019999999998</v>
      </c>
    </row>
    <row r="1327" spans="1:16" x14ac:dyDescent="0.25">
      <c r="A1327" s="41">
        <v>5</v>
      </c>
      <c r="B1327" s="41">
        <v>65</v>
      </c>
      <c r="C1327" s="28">
        <v>15.868606399999999</v>
      </c>
      <c r="D1327" s="28">
        <v>6.9166257800000004</v>
      </c>
      <c r="E1327" s="28">
        <v>31.930136399999999</v>
      </c>
      <c r="F1327" s="28">
        <v>25.8372919</v>
      </c>
      <c r="G1327" s="28">
        <v>24.940757999999999</v>
      </c>
      <c r="H1327" s="28">
        <v>78.583192199999999</v>
      </c>
      <c r="I1327" s="28">
        <v>65.142397900000006</v>
      </c>
      <c r="J1327" s="28">
        <v>986.35805000000005</v>
      </c>
      <c r="K1327" s="28">
        <v>984.09142299999996</v>
      </c>
      <c r="L1327" s="42">
        <v>6.3123415200000004</v>
      </c>
      <c r="M1327" s="28">
        <v>137.431207</v>
      </c>
      <c r="N1327" s="28">
        <v>1411.91112</v>
      </c>
      <c r="O1327" s="28">
        <v>1132.6920500000001</v>
      </c>
      <c r="P1327" s="28">
        <v>867.30795000000001</v>
      </c>
    </row>
    <row r="1328" spans="1:16" x14ac:dyDescent="0.25">
      <c r="A1328" s="41">
        <v>5</v>
      </c>
      <c r="B1328" s="41">
        <v>66</v>
      </c>
      <c r="C1328" s="28">
        <v>15.712290400000001</v>
      </c>
      <c r="D1328" s="28">
        <v>6.8639070499999999</v>
      </c>
      <c r="E1328" s="28">
        <v>31.812536399999999</v>
      </c>
      <c r="F1328" s="28">
        <v>25.209142</v>
      </c>
      <c r="G1328" s="28">
        <v>24.797245499999999</v>
      </c>
      <c r="H1328" s="28">
        <v>78.587369499999994</v>
      </c>
      <c r="I1328" s="28">
        <v>65.248948799999994</v>
      </c>
      <c r="J1328" s="28">
        <v>983.52402300000006</v>
      </c>
      <c r="K1328" s="28">
        <v>985.39981799999998</v>
      </c>
      <c r="L1328" s="42">
        <v>6.3043406299999996</v>
      </c>
      <c r="M1328" s="28">
        <v>136.910709</v>
      </c>
      <c r="N1328" s="28">
        <v>1394.7082399999999</v>
      </c>
      <c r="O1328" s="28">
        <v>1131.2563700000001</v>
      </c>
      <c r="P1328" s="28">
        <v>868.74363000000005</v>
      </c>
    </row>
    <row r="1329" spans="1:16" x14ac:dyDescent="0.25">
      <c r="A1329" s="41">
        <v>5</v>
      </c>
      <c r="B1329" s="41">
        <v>67</v>
      </c>
      <c r="C1329" s="28">
        <v>15.652730399999999</v>
      </c>
      <c r="D1329" s="28">
        <v>6.8744570700000001</v>
      </c>
      <c r="E1329" s="28">
        <v>31.984941200000002</v>
      </c>
      <c r="F1329" s="28">
        <v>24.983888400000001</v>
      </c>
      <c r="G1329" s="28">
        <v>24.638643800000001</v>
      </c>
      <c r="H1329" s="28">
        <v>79.105093800000006</v>
      </c>
      <c r="I1329" s="28">
        <v>65.3781611</v>
      </c>
      <c r="J1329" s="28">
        <v>986.63987799999995</v>
      </c>
      <c r="K1329" s="28">
        <v>981.500765</v>
      </c>
      <c r="L1329" s="42">
        <v>6.3648716800000003</v>
      </c>
      <c r="M1329" s="28">
        <v>136.795457</v>
      </c>
      <c r="N1329" s="28">
        <v>1419.34509</v>
      </c>
      <c r="O1329" s="28">
        <v>1142.1181099999999</v>
      </c>
      <c r="P1329" s="28">
        <v>857.88189</v>
      </c>
    </row>
    <row r="1330" spans="1:16" x14ac:dyDescent="0.25">
      <c r="A1330" s="41">
        <v>5</v>
      </c>
      <c r="B1330" s="41">
        <v>68</v>
      </c>
      <c r="C1330" s="28">
        <v>15.680300000000001</v>
      </c>
      <c r="D1330" s="28">
        <v>6.8686102199999999</v>
      </c>
      <c r="E1330" s="28">
        <v>32.496379099999999</v>
      </c>
      <c r="F1330" s="28">
        <v>25.5167945</v>
      </c>
      <c r="G1330" s="28">
        <v>24.665872400000001</v>
      </c>
      <c r="H1330" s="28">
        <v>80.201111600000004</v>
      </c>
      <c r="I1330" s="28">
        <v>66.741558999999995</v>
      </c>
      <c r="J1330" s="28">
        <v>982.79922899999997</v>
      </c>
      <c r="K1330" s="28">
        <v>986.87719200000004</v>
      </c>
      <c r="L1330" s="42">
        <v>6.3754117399999997</v>
      </c>
      <c r="M1330" s="28">
        <v>138.01330799999999</v>
      </c>
      <c r="N1330" s="28">
        <v>1425.4992299999999</v>
      </c>
      <c r="O1330" s="28">
        <v>1144.0094300000001</v>
      </c>
      <c r="P1330" s="28">
        <v>855.99057000000005</v>
      </c>
    </row>
    <row r="1331" spans="1:16" x14ac:dyDescent="0.25">
      <c r="A1331" s="41">
        <v>5</v>
      </c>
      <c r="B1331" s="41">
        <v>69</v>
      </c>
      <c r="C1331" s="28">
        <v>15.704885300000001</v>
      </c>
      <c r="D1331" s="28">
        <v>6.9079265799999998</v>
      </c>
      <c r="E1331" s="28">
        <v>32.863463400000001</v>
      </c>
      <c r="F1331" s="28">
        <v>25.609299</v>
      </c>
      <c r="G1331" s="28">
        <v>24.7325728</v>
      </c>
      <c r="H1331" s="28">
        <v>80.378810799999997</v>
      </c>
      <c r="I1331" s="28">
        <v>66.433094199999999</v>
      </c>
      <c r="J1331" s="28">
        <v>985.49302299999999</v>
      </c>
      <c r="K1331" s="28">
        <v>987.66844500000002</v>
      </c>
      <c r="L1331" s="42">
        <v>6.3398958900000002</v>
      </c>
      <c r="M1331" s="28">
        <v>138.77583100000001</v>
      </c>
      <c r="N1331" s="28">
        <v>1412.44046</v>
      </c>
      <c r="O1331" s="28">
        <v>1137.63643</v>
      </c>
      <c r="P1331" s="28">
        <v>862.36356999999998</v>
      </c>
    </row>
    <row r="1332" spans="1:16" x14ac:dyDescent="0.25">
      <c r="A1332" s="41">
        <v>5</v>
      </c>
      <c r="B1332" s="41">
        <v>70</v>
      </c>
      <c r="C1332" s="28">
        <v>15.626727000000001</v>
      </c>
      <c r="D1332" s="28">
        <v>6.8877487799999999</v>
      </c>
      <c r="E1332" s="28">
        <v>33.185166799999998</v>
      </c>
      <c r="F1332" s="28">
        <v>25.7505816</v>
      </c>
      <c r="G1332" s="28">
        <v>24.809520800000001</v>
      </c>
      <c r="H1332" s="28">
        <v>80.239388000000005</v>
      </c>
      <c r="I1332" s="28">
        <v>65.942543400000005</v>
      </c>
      <c r="J1332" s="28">
        <v>982.21212200000002</v>
      </c>
      <c r="K1332" s="28">
        <v>988.70629899999994</v>
      </c>
      <c r="L1332" s="42">
        <v>6.1924368200000002</v>
      </c>
      <c r="M1332" s="28">
        <v>138.685519</v>
      </c>
      <c r="N1332" s="28">
        <v>1382.73561</v>
      </c>
      <c r="O1332" s="28">
        <v>1111.17625</v>
      </c>
      <c r="P1332" s="28">
        <v>888.82375000000002</v>
      </c>
    </row>
    <row r="1333" spans="1:16" x14ac:dyDescent="0.25">
      <c r="A1333" s="41">
        <v>5</v>
      </c>
      <c r="B1333" s="41">
        <v>71</v>
      </c>
      <c r="C1333" s="28">
        <v>15.803588400000001</v>
      </c>
      <c r="D1333" s="28">
        <v>6.9092860600000003</v>
      </c>
      <c r="E1333" s="28">
        <v>32.860502599999997</v>
      </c>
      <c r="F1333" s="28">
        <v>25.965116999999999</v>
      </c>
      <c r="G1333" s="28">
        <v>24.762188399999999</v>
      </c>
      <c r="H1333" s="28">
        <v>79.515683600000003</v>
      </c>
      <c r="I1333" s="28">
        <v>66.392562799999993</v>
      </c>
      <c r="J1333" s="28">
        <v>986.19090900000003</v>
      </c>
      <c r="K1333" s="28">
        <v>985.65063199999997</v>
      </c>
      <c r="L1333" s="42">
        <v>6.26893119</v>
      </c>
      <c r="M1333" s="28">
        <v>138.52461600000001</v>
      </c>
      <c r="N1333" s="28">
        <v>1405.4119800000001</v>
      </c>
      <c r="O1333" s="28">
        <v>1124.90247</v>
      </c>
      <c r="P1333" s="28">
        <v>875.09753000000001</v>
      </c>
    </row>
    <row r="1334" spans="1:16" x14ac:dyDescent="0.25">
      <c r="A1334" s="41">
        <v>5</v>
      </c>
      <c r="B1334" s="41">
        <v>72</v>
      </c>
      <c r="C1334" s="28">
        <v>15.8101989</v>
      </c>
      <c r="D1334" s="28">
        <v>6.8997156799999999</v>
      </c>
      <c r="E1334" s="28">
        <v>32.615895600000002</v>
      </c>
      <c r="F1334" s="28">
        <v>25.7968437</v>
      </c>
      <c r="G1334" s="28">
        <v>24.754533500000001</v>
      </c>
      <c r="H1334" s="28">
        <v>78.736259000000004</v>
      </c>
      <c r="I1334" s="28">
        <v>65.701627400000007</v>
      </c>
      <c r="J1334" s="28">
        <v>983.86510999999996</v>
      </c>
      <c r="K1334" s="28">
        <v>986.65097000000003</v>
      </c>
      <c r="L1334" s="42">
        <v>6.2140321199999997</v>
      </c>
      <c r="M1334" s="28">
        <v>137.82501099999999</v>
      </c>
      <c r="N1334" s="28">
        <v>1402.8446799999999</v>
      </c>
      <c r="O1334" s="28">
        <v>1115.05133</v>
      </c>
      <c r="P1334" s="28">
        <v>884.94866999999999</v>
      </c>
    </row>
    <row r="1335" spans="1:16" x14ac:dyDescent="0.25">
      <c r="A1335" s="41">
        <v>5</v>
      </c>
      <c r="B1335" s="41">
        <v>73</v>
      </c>
      <c r="C1335" s="28">
        <v>15.899625199999999</v>
      </c>
      <c r="D1335" s="28">
        <v>6.9252953100000001</v>
      </c>
      <c r="E1335" s="28">
        <v>32.779681500000002</v>
      </c>
      <c r="F1335" s="28">
        <v>25.4451891</v>
      </c>
      <c r="G1335" s="28">
        <v>24.543479399999999</v>
      </c>
      <c r="H1335" s="28">
        <v>77.714862100000005</v>
      </c>
      <c r="I1335" s="28">
        <v>65.844382199999998</v>
      </c>
      <c r="J1335" s="28">
        <v>986.98217499999998</v>
      </c>
      <c r="K1335" s="28">
        <v>994.70620899999994</v>
      </c>
      <c r="L1335" s="42">
        <v>6.1428620599999997</v>
      </c>
      <c r="M1335" s="28">
        <v>137.83420699999999</v>
      </c>
      <c r="N1335" s="28">
        <v>1383.29873</v>
      </c>
      <c r="O1335" s="28">
        <v>1102.28051</v>
      </c>
      <c r="P1335" s="28">
        <v>897.71948999999995</v>
      </c>
    </row>
    <row r="1336" spans="1:16" x14ac:dyDescent="0.25">
      <c r="A1336" s="41">
        <v>5</v>
      </c>
      <c r="B1336" s="41">
        <v>74</v>
      </c>
      <c r="C1336" s="28">
        <v>15.7701419</v>
      </c>
      <c r="D1336" s="28">
        <v>6.9068879000000001</v>
      </c>
      <c r="E1336" s="28">
        <v>32.7945876</v>
      </c>
      <c r="F1336" s="28">
        <v>25.293750899999999</v>
      </c>
      <c r="G1336" s="28">
        <v>24.359261400000001</v>
      </c>
      <c r="H1336" s="28">
        <v>76.721165900000003</v>
      </c>
      <c r="I1336" s="28">
        <v>67.1404931</v>
      </c>
      <c r="J1336" s="28">
        <v>984.09118100000001</v>
      </c>
      <c r="K1336" s="28">
        <v>993.18088999999998</v>
      </c>
      <c r="L1336" s="42">
        <v>6.2015031799999996</v>
      </c>
      <c r="M1336" s="28">
        <v>137.02103299999999</v>
      </c>
      <c r="N1336" s="28">
        <v>1412.6252500000001</v>
      </c>
      <c r="O1336" s="28">
        <v>1112.80313</v>
      </c>
      <c r="P1336" s="28">
        <v>887.19686999999999</v>
      </c>
    </row>
    <row r="1337" spans="1:16" x14ac:dyDescent="0.25">
      <c r="A1337" s="41">
        <v>5</v>
      </c>
      <c r="B1337" s="41">
        <v>75</v>
      </c>
      <c r="C1337" s="28">
        <v>15.721682400000001</v>
      </c>
      <c r="D1337" s="28">
        <v>6.9037435699999996</v>
      </c>
      <c r="E1337" s="28">
        <v>32.938157799999999</v>
      </c>
      <c r="F1337" s="28">
        <v>25.191893</v>
      </c>
      <c r="G1337" s="28">
        <v>24.1737684</v>
      </c>
      <c r="H1337" s="28">
        <v>76.712195800000003</v>
      </c>
      <c r="I1337" s="28">
        <v>67.387595599999997</v>
      </c>
      <c r="J1337" s="28">
        <v>987.19134199999996</v>
      </c>
      <c r="K1337" s="28">
        <v>995.24110499999995</v>
      </c>
      <c r="L1337" s="42">
        <v>6.2628273700000001</v>
      </c>
      <c r="M1337" s="28">
        <v>137.516693</v>
      </c>
      <c r="N1337" s="28">
        <v>1415.08861</v>
      </c>
      <c r="O1337" s="28">
        <v>1123.80719</v>
      </c>
      <c r="P1337" s="28">
        <v>876.19281000000001</v>
      </c>
    </row>
    <row r="1338" spans="1:16" x14ac:dyDescent="0.25">
      <c r="A1338" s="41">
        <v>5</v>
      </c>
      <c r="B1338" s="41">
        <v>76</v>
      </c>
      <c r="C1338" s="28">
        <v>15.611645899999999</v>
      </c>
      <c r="D1338" s="28">
        <v>6.8558735799999999</v>
      </c>
      <c r="E1338" s="28">
        <v>32.719661600000002</v>
      </c>
      <c r="F1338" s="28">
        <v>25.120186499999999</v>
      </c>
      <c r="G1338" s="28">
        <v>23.877696199999999</v>
      </c>
      <c r="H1338" s="28">
        <v>76.692596899999998</v>
      </c>
      <c r="I1338" s="28">
        <v>67.476899900000006</v>
      </c>
      <c r="J1338" s="28">
        <v>985.063804</v>
      </c>
      <c r="K1338" s="28">
        <v>990.64687500000002</v>
      </c>
      <c r="L1338" s="42">
        <v>6.2888878200000002</v>
      </c>
      <c r="M1338" s="28">
        <v>136.55224699999999</v>
      </c>
      <c r="N1338" s="28">
        <v>1409.9630199999999</v>
      </c>
      <c r="O1338" s="28">
        <v>1128.4835</v>
      </c>
      <c r="P1338" s="28">
        <v>871.51649999999995</v>
      </c>
    </row>
    <row r="1339" spans="1:16" x14ac:dyDescent="0.25">
      <c r="A1339" s="41">
        <v>5</v>
      </c>
      <c r="B1339" s="41">
        <v>77</v>
      </c>
      <c r="C1339" s="28">
        <v>15.6462904</v>
      </c>
      <c r="D1339" s="28">
        <v>6.9794243600000003</v>
      </c>
      <c r="E1339" s="28">
        <v>32.7350341</v>
      </c>
      <c r="F1339" s="28">
        <v>25.226428800000001</v>
      </c>
      <c r="G1339" s="28">
        <v>24.275006000000001</v>
      </c>
      <c r="H1339" s="28">
        <v>77.964362300000005</v>
      </c>
      <c r="I1339" s="28">
        <v>69.1667968</v>
      </c>
      <c r="J1339" s="28">
        <v>986.97241399999996</v>
      </c>
      <c r="K1339" s="28">
        <v>992.82370100000003</v>
      </c>
      <c r="L1339" s="42">
        <v>6.2003900700000001</v>
      </c>
      <c r="M1339" s="28">
        <v>138.34549899999999</v>
      </c>
      <c r="N1339" s="28">
        <v>1386.47009</v>
      </c>
      <c r="O1339" s="28">
        <v>1112.60339</v>
      </c>
      <c r="P1339" s="28">
        <v>887.39661000000001</v>
      </c>
    </row>
    <row r="1340" spans="1:16" x14ac:dyDescent="0.25">
      <c r="A1340" s="41">
        <v>5</v>
      </c>
      <c r="B1340" s="41">
        <v>78</v>
      </c>
      <c r="C1340" s="28">
        <v>15.7259335</v>
      </c>
      <c r="D1340" s="28">
        <v>7.08620669</v>
      </c>
      <c r="E1340" s="28">
        <v>32.785105899999998</v>
      </c>
      <c r="F1340" s="28">
        <v>25.434577699999998</v>
      </c>
      <c r="G1340" s="28">
        <v>24.374294200000001</v>
      </c>
      <c r="H1340" s="28">
        <v>78.237416100000004</v>
      </c>
      <c r="I1340" s="28">
        <v>68.829557800000003</v>
      </c>
      <c r="J1340" s="28">
        <v>983.41725399999996</v>
      </c>
      <c r="K1340" s="28">
        <v>992.60751900000002</v>
      </c>
      <c r="L1340" s="42">
        <v>6.0670623700000004</v>
      </c>
      <c r="M1340" s="28">
        <v>139.17423199999999</v>
      </c>
      <c r="N1340" s="28">
        <v>1390.3732399999999</v>
      </c>
      <c r="O1340" s="28">
        <v>1088.67895</v>
      </c>
      <c r="P1340" s="28">
        <v>911.32105000000001</v>
      </c>
    </row>
    <row r="1341" spans="1:16" x14ac:dyDescent="0.25">
      <c r="A1341" s="41">
        <v>5</v>
      </c>
      <c r="B1341" s="41">
        <v>79</v>
      </c>
      <c r="C1341" s="28">
        <v>15.622404100000001</v>
      </c>
      <c r="D1341" s="28">
        <v>7.02743641</v>
      </c>
      <c r="E1341" s="28">
        <v>32.471095900000002</v>
      </c>
      <c r="F1341" s="28">
        <v>24.9972466</v>
      </c>
      <c r="G1341" s="28">
        <v>24.139997000000001</v>
      </c>
      <c r="H1341" s="28">
        <v>76.1978103</v>
      </c>
      <c r="I1341" s="28">
        <v>67.6018586</v>
      </c>
      <c r="J1341" s="28">
        <v>987.75642300000004</v>
      </c>
      <c r="K1341" s="28">
        <v>989.20364900000004</v>
      </c>
      <c r="L1341" s="42">
        <v>6.0353835399999998</v>
      </c>
      <c r="M1341" s="28">
        <v>137.63782</v>
      </c>
      <c r="N1341" s="28">
        <v>1437.2538500000001</v>
      </c>
      <c r="O1341" s="28">
        <v>1082.9944700000001</v>
      </c>
      <c r="P1341" s="28">
        <v>917.00553000000002</v>
      </c>
    </row>
    <row r="1342" spans="1:16" x14ac:dyDescent="0.25">
      <c r="A1342" s="41">
        <v>5</v>
      </c>
      <c r="B1342" s="41">
        <v>80</v>
      </c>
      <c r="C1342" s="28">
        <v>15.6749305</v>
      </c>
      <c r="D1342" s="28">
        <v>7.0122148299999996</v>
      </c>
      <c r="E1342" s="28">
        <v>32.504981200000003</v>
      </c>
      <c r="F1342" s="28">
        <v>24.885145900000001</v>
      </c>
      <c r="G1342" s="28">
        <v>24.449912300000001</v>
      </c>
      <c r="H1342" s="28">
        <v>77.966712599999994</v>
      </c>
      <c r="I1342" s="28">
        <v>68.841910400000003</v>
      </c>
      <c r="J1342" s="28">
        <v>984.81606399999998</v>
      </c>
      <c r="K1342" s="28">
        <v>988.39113599999996</v>
      </c>
      <c r="L1342" s="42">
        <v>6.2020452199999996</v>
      </c>
      <c r="M1342" s="28">
        <v>138.20295899999999</v>
      </c>
      <c r="N1342" s="28">
        <v>1438.3557000000001</v>
      </c>
      <c r="O1342" s="28">
        <v>1112.90039</v>
      </c>
      <c r="P1342" s="28">
        <v>887.09960999999998</v>
      </c>
    </row>
    <row r="1343" spans="1:16" x14ac:dyDescent="0.25">
      <c r="A1343" s="41">
        <v>5</v>
      </c>
      <c r="B1343" s="41">
        <v>81</v>
      </c>
      <c r="C1343" s="28">
        <v>15.6824461</v>
      </c>
      <c r="D1343" s="28">
        <v>7.0388729899999998</v>
      </c>
      <c r="E1343" s="28">
        <v>32.2355248</v>
      </c>
      <c r="F1343" s="28">
        <v>24.658401399999999</v>
      </c>
      <c r="G1343" s="28">
        <v>24.715433699999998</v>
      </c>
      <c r="H1343" s="28">
        <v>77.682948300000007</v>
      </c>
      <c r="I1343" s="28">
        <v>68.676892899999999</v>
      </c>
      <c r="J1343" s="28">
        <v>988.11428899999999</v>
      </c>
      <c r="K1343" s="28">
        <v>996.77823599999999</v>
      </c>
      <c r="L1343" s="42">
        <v>6.2800108000000003</v>
      </c>
      <c r="M1343" s="28">
        <v>138.13243600000001</v>
      </c>
      <c r="N1343" s="28">
        <v>1421.6764000000001</v>
      </c>
      <c r="O1343" s="28">
        <v>1126.8905999999999</v>
      </c>
      <c r="P1343" s="28">
        <v>873.10940000000005</v>
      </c>
    </row>
    <row r="1344" spans="1:16" x14ac:dyDescent="0.25">
      <c r="A1344" s="41">
        <v>5</v>
      </c>
      <c r="B1344" s="41">
        <v>82</v>
      </c>
      <c r="C1344" s="28">
        <v>15.637646999999999</v>
      </c>
      <c r="D1344" s="28">
        <v>7.0272581699999996</v>
      </c>
      <c r="E1344" s="28">
        <v>32.658045399999999</v>
      </c>
      <c r="F1344" s="28">
        <v>24.616187799999999</v>
      </c>
      <c r="G1344" s="28">
        <v>24.420103099999999</v>
      </c>
      <c r="H1344" s="28">
        <v>76.821282199999999</v>
      </c>
      <c r="I1344" s="28">
        <v>67.414537999999993</v>
      </c>
      <c r="J1344" s="28">
        <v>985.16153999999995</v>
      </c>
      <c r="K1344" s="28">
        <v>995.17610500000001</v>
      </c>
      <c r="L1344" s="42">
        <v>6.3691431600000001</v>
      </c>
      <c r="M1344" s="28">
        <v>138.51300000000001</v>
      </c>
      <c r="N1344" s="28">
        <v>1428.3212599999999</v>
      </c>
      <c r="O1344" s="28">
        <v>1142.8845899999999</v>
      </c>
      <c r="P1344" s="28">
        <v>857.11541</v>
      </c>
    </row>
    <row r="1345" spans="1:16" x14ac:dyDescent="0.25">
      <c r="A1345" s="41">
        <v>5</v>
      </c>
      <c r="B1345" s="41">
        <v>83</v>
      </c>
      <c r="C1345" s="28">
        <v>15.6882342</v>
      </c>
      <c r="D1345" s="28">
        <v>7.1521865299999998</v>
      </c>
      <c r="E1345" s="28">
        <v>32.759142099999998</v>
      </c>
      <c r="F1345" s="28">
        <v>24.750359400000001</v>
      </c>
      <c r="G1345" s="28">
        <v>24.145420300000001</v>
      </c>
      <c r="H1345" s="28">
        <v>76.529381200000003</v>
      </c>
      <c r="I1345" s="28">
        <v>68.161694900000001</v>
      </c>
      <c r="J1345" s="28">
        <v>987.22491200000002</v>
      </c>
      <c r="K1345" s="28">
        <v>995.41143</v>
      </c>
      <c r="L1345" s="42">
        <v>6.3716827299999999</v>
      </c>
      <c r="M1345" s="28">
        <v>138.977689</v>
      </c>
      <c r="N1345" s="28">
        <v>1422.9148499999999</v>
      </c>
      <c r="O1345" s="28">
        <v>1143.3402900000001</v>
      </c>
      <c r="P1345" s="28">
        <v>856.65971000000002</v>
      </c>
    </row>
    <row r="1346" spans="1:16" x14ac:dyDescent="0.25">
      <c r="A1346" s="41">
        <v>5</v>
      </c>
      <c r="B1346" s="41">
        <v>84</v>
      </c>
      <c r="C1346" s="28">
        <v>15.4616091</v>
      </c>
      <c r="D1346" s="28">
        <v>7.10527818</v>
      </c>
      <c r="E1346" s="28">
        <v>32.447930800000002</v>
      </c>
      <c r="F1346" s="28">
        <v>24.878791400000001</v>
      </c>
      <c r="G1346" s="28">
        <v>24.195318799999999</v>
      </c>
      <c r="H1346" s="28">
        <v>75.675953699999994</v>
      </c>
      <c r="I1346" s="28">
        <v>67.374465499999999</v>
      </c>
      <c r="J1346" s="28">
        <v>985.26581999999996</v>
      </c>
      <c r="K1346" s="28">
        <v>997.51904100000002</v>
      </c>
      <c r="L1346" s="42">
        <v>6.4723549199999999</v>
      </c>
      <c r="M1346" s="28">
        <v>137.938748</v>
      </c>
      <c r="N1346" s="28">
        <v>1416.9545800000001</v>
      </c>
      <c r="O1346" s="28">
        <v>1161.405</v>
      </c>
      <c r="P1346" s="28">
        <v>838.59500000000003</v>
      </c>
    </row>
    <row r="1347" spans="1:16" x14ac:dyDescent="0.25">
      <c r="A1347" s="41">
        <v>5</v>
      </c>
      <c r="B1347" s="41">
        <v>85</v>
      </c>
      <c r="C1347" s="28">
        <v>15.4517623</v>
      </c>
      <c r="D1347" s="28">
        <v>7.1764908500000004</v>
      </c>
      <c r="E1347" s="28">
        <v>32.427385700000002</v>
      </c>
      <c r="F1347" s="28">
        <v>25.157499600000001</v>
      </c>
      <c r="G1347" s="28">
        <v>24.394378400000001</v>
      </c>
      <c r="H1347" s="28">
        <v>75.413656700000004</v>
      </c>
      <c r="I1347" s="28">
        <v>66.859488299999995</v>
      </c>
      <c r="J1347" s="28">
        <v>987.84343899999999</v>
      </c>
      <c r="K1347" s="28">
        <v>999.45100400000001</v>
      </c>
      <c r="L1347" s="42">
        <v>6.3968565599999998</v>
      </c>
      <c r="M1347" s="28">
        <v>138.05962600000001</v>
      </c>
      <c r="N1347" s="28">
        <v>1436.64589</v>
      </c>
      <c r="O1347" s="28">
        <v>1147.85751</v>
      </c>
      <c r="P1347" s="28">
        <v>852.14248999999995</v>
      </c>
    </row>
    <row r="1348" spans="1:16" x14ac:dyDescent="0.25">
      <c r="A1348" s="41">
        <v>5</v>
      </c>
      <c r="B1348" s="41">
        <v>86</v>
      </c>
      <c r="C1348" s="28">
        <v>15.2184984</v>
      </c>
      <c r="D1348" s="28">
        <v>7.2195320199999999</v>
      </c>
      <c r="E1348" s="28">
        <v>32.049910599999997</v>
      </c>
      <c r="F1348" s="28">
        <v>24.764075399999999</v>
      </c>
      <c r="G1348" s="28">
        <v>24.253736700000001</v>
      </c>
      <c r="H1348" s="28">
        <v>75.554868799999994</v>
      </c>
      <c r="I1348" s="28">
        <v>66.355350700000002</v>
      </c>
      <c r="J1348" s="28">
        <v>985.07668699999999</v>
      </c>
      <c r="K1348" s="28">
        <v>998.24457500000005</v>
      </c>
      <c r="L1348" s="42">
        <v>6.5360547200000001</v>
      </c>
      <c r="M1348" s="28">
        <v>138.176918</v>
      </c>
      <c r="N1348" s="28">
        <v>1440.2191800000001</v>
      </c>
      <c r="O1348" s="28">
        <v>1172.8353500000001</v>
      </c>
      <c r="P1348" s="28">
        <v>827.16465000000005</v>
      </c>
    </row>
    <row r="1349" spans="1:16" x14ac:dyDescent="0.25">
      <c r="A1349" s="41">
        <v>5</v>
      </c>
      <c r="B1349" s="41">
        <v>87</v>
      </c>
      <c r="C1349" s="28">
        <v>15.3254184</v>
      </c>
      <c r="D1349" s="28">
        <v>7.1711064200000001</v>
      </c>
      <c r="E1349" s="28">
        <v>31.764327000000002</v>
      </c>
      <c r="F1349" s="28">
        <v>24.909583300000001</v>
      </c>
      <c r="G1349" s="28">
        <v>24.303134</v>
      </c>
      <c r="H1349" s="28">
        <v>77.091152699999995</v>
      </c>
      <c r="I1349" s="28">
        <v>66.339349400000003</v>
      </c>
      <c r="J1349" s="28">
        <v>988.98170800000003</v>
      </c>
      <c r="K1349" s="28">
        <v>994.94742799999995</v>
      </c>
      <c r="L1349" s="42">
        <v>6.6189671600000004</v>
      </c>
      <c r="M1349" s="28">
        <v>137.46292099999999</v>
      </c>
      <c r="N1349" s="28">
        <v>1438.52413</v>
      </c>
      <c r="O1349" s="28">
        <v>1187.7132300000001</v>
      </c>
      <c r="P1349" s="28">
        <v>812.28677000000005</v>
      </c>
    </row>
    <row r="1350" spans="1:16" x14ac:dyDescent="0.25">
      <c r="A1350" s="41">
        <v>5</v>
      </c>
      <c r="B1350" s="41">
        <v>88</v>
      </c>
      <c r="C1350" s="28">
        <v>15.322967800000001</v>
      </c>
      <c r="D1350" s="28">
        <v>7.1703690699999996</v>
      </c>
      <c r="E1350" s="28">
        <v>32.033670200000003</v>
      </c>
      <c r="F1350" s="28">
        <v>24.698167300000001</v>
      </c>
      <c r="G1350" s="28">
        <v>24.430693600000001</v>
      </c>
      <c r="H1350" s="28">
        <v>77.443386000000004</v>
      </c>
      <c r="I1350" s="28">
        <v>67.142050100000006</v>
      </c>
      <c r="J1350" s="28">
        <v>985.87538600000005</v>
      </c>
      <c r="K1350" s="28">
        <v>993.96433000000002</v>
      </c>
      <c r="L1350" s="42">
        <v>6.6831957700000002</v>
      </c>
      <c r="M1350" s="28">
        <v>136.96845999999999</v>
      </c>
      <c r="N1350" s="28">
        <v>1452.6305299999999</v>
      </c>
      <c r="O1350" s="28">
        <v>1199.23846</v>
      </c>
      <c r="P1350" s="28">
        <v>800.76153999999997</v>
      </c>
    </row>
    <row r="1351" spans="1:16" x14ac:dyDescent="0.25">
      <c r="A1351" s="41">
        <v>5</v>
      </c>
      <c r="B1351" s="41">
        <v>89</v>
      </c>
      <c r="C1351" s="28">
        <v>15.4754342</v>
      </c>
      <c r="D1351" s="28">
        <v>7.21400255</v>
      </c>
      <c r="E1351" s="28">
        <v>31.7364569</v>
      </c>
      <c r="F1351" s="28">
        <v>24.7475247</v>
      </c>
      <c r="G1351" s="28">
        <v>24.213632100000002</v>
      </c>
      <c r="H1351" s="28">
        <v>77.770887400000007</v>
      </c>
      <c r="I1351" s="28">
        <v>65.283208200000004</v>
      </c>
      <c r="J1351" s="28">
        <v>989.47340399999996</v>
      </c>
      <c r="K1351" s="28">
        <v>996.81792199999995</v>
      </c>
      <c r="L1351" s="42">
        <v>6.6479958699999999</v>
      </c>
      <c r="M1351" s="28">
        <v>135.85343800000001</v>
      </c>
      <c r="N1351" s="28">
        <v>1468.83701</v>
      </c>
      <c r="O1351" s="28">
        <v>1192.9221600000001</v>
      </c>
      <c r="P1351" s="28">
        <v>807.07784000000004</v>
      </c>
    </row>
    <row r="1352" spans="1:16" x14ac:dyDescent="0.25">
      <c r="A1352" s="41">
        <v>5</v>
      </c>
      <c r="B1352" s="41">
        <v>90</v>
      </c>
      <c r="C1352" s="28">
        <v>15.5448579</v>
      </c>
      <c r="D1352" s="28">
        <v>7.1878132399999997</v>
      </c>
      <c r="E1352" s="28">
        <v>31.534120000000001</v>
      </c>
      <c r="F1352" s="28">
        <v>24.524732700000001</v>
      </c>
      <c r="G1352" s="28">
        <v>24.1694131</v>
      </c>
      <c r="H1352" s="28">
        <v>76.851981300000006</v>
      </c>
      <c r="I1352" s="28">
        <v>64.848988399999996</v>
      </c>
      <c r="J1352" s="28">
        <v>987.67098099999998</v>
      </c>
      <c r="K1352" s="28">
        <v>998.48533899999995</v>
      </c>
      <c r="L1352" s="42">
        <v>6.6650402599999996</v>
      </c>
      <c r="M1352" s="28">
        <v>134.64979500000001</v>
      </c>
      <c r="N1352" s="28">
        <v>1479.39681</v>
      </c>
      <c r="O1352" s="28">
        <v>1195.98062</v>
      </c>
      <c r="P1352" s="28">
        <v>804.01937999999996</v>
      </c>
    </row>
    <row r="1353" spans="1:16" x14ac:dyDescent="0.25">
      <c r="A1353" s="41">
        <v>5</v>
      </c>
      <c r="B1353" s="41">
        <v>91</v>
      </c>
      <c r="C1353" s="28">
        <v>15.665144700000001</v>
      </c>
      <c r="D1353" s="28">
        <v>7.2680070299999997</v>
      </c>
      <c r="E1353" s="28">
        <v>31.590294799999999</v>
      </c>
      <c r="F1353" s="28">
        <v>24.5070488</v>
      </c>
      <c r="G1353" s="28">
        <v>24.2520469</v>
      </c>
      <c r="H1353" s="28">
        <v>78.2090836</v>
      </c>
      <c r="I1353" s="28">
        <v>65.212294999999997</v>
      </c>
      <c r="J1353" s="28">
        <v>989.93524400000001</v>
      </c>
      <c r="K1353" s="28">
        <v>1001.78372</v>
      </c>
      <c r="L1353" s="42">
        <v>6.6398234299999999</v>
      </c>
      <c r="M1353" s="28">
        <v>134.702654</v>
      </c>
      <c r="N1353" s="28">
        <v>1510.5788299999999</v>
      </c>
      <c r="O1353" s="28">
        <v>1191.45569</v>
      </c>
      <c r="P1353" s="28">
        <v>808.54431</v>
      </c>
    </row>
    <row r="1354" spans="1:16" x14ac:dyDescent="0.25">
      <c r="A1354" s="41">
        <v>5</v>
      </c>
      <c r="B1354" s="41">
        <v>92</v>
      </c>
      <c r="C1354" s="28">
        <v>15.604611800000001</v>
      </c>
      <c r="D1354" s="28">
        <v>7.3252683100000002</v>
      </c>
      <c r="E1354" s="28">
        <v>31.597273600000001</v>
      </c>
      <c r="F1354" s="28">
        <v>24.4975624</v>
      </c>
      <c r="G1354" s="28">
        <v>23.880907700000002</v>
      </c>
      <c r="H1354" s="28">
        <v>76.513189800000006</v>
      </c>
      <c r="I1354" s="28">
        <v>64.301829799999993</v>
      </c>
      <c r="J1354" s="28">
        <v>987.26133400000003</v>
      </c>
      <c r="K1354" s="28">
        <v>1000.3344499999999</v>
      </c>
      <c r="L1354" s="42">
        <v>6.6122545600000002</v>
      </c>
      <c r="M1354" s="28">
        <v>133.539107</v>
      </c>
      <c r="N1354" s="28">
        <v>1522.7242200000001</v>
      </c>
      <c r="O1354" s="28">
        <v>1186.5087100000001</v>
      </c>
      <c r="P1354" s="28">
        <v>813.49129000000005</v>
      </c>
    </row>
    <row r="1355" spans="1:16" x14ac:dyDescent="0.25">
      <c r="A1355" s="41">
        <v>5</v>
      </c>
      <c r="B1355" s="41">
        <v>93</v>
      </c>
      <c r="C1355" s="28">
        <v>15.7718977</v>
      </c>
      <c r="D1355" s="28">
        <v>7.3218646600000001</v>
      </c>
      <c r="E1355" s="28">
        <v>31.665617900000001</v>
      </c>
      <c r="F1355" s="28">
        <v>24.596244899999999</v>
      </c>
      <c r="G1355" s="28">
        <v>23.862723599999999</v>
      </c>
      <c r="H1355" s="28">
        <v>76.870210599999993</v>
      </c>
      <c r="I1355" s="28">
        <v>64.096478500000003</v>
      </c>
      <c r="J1355" s="28">
        <v>990.44855199999995</v>
      </c>
      <c r="K1355" s="28">
        <v>996.69671800000003</v>
      </c>
      <c r="L1355" s="42">
        <v>6.6318252299999996</v>
      </c>
      <c r="M1355" s="28">
        <v>134.259658</v>
      </c>
      <c r="N1355" s="28">
        <v>1537.3877299999999</v>
      </c>
      <c r="O1355" s="28">
        <v>1190.0204900000001</v>
      </c>
      <c r="P1355" s="28">
        <v>809.97951</v>
      </c>
    </row>
    <row r="1356" spans="1:16" x14ac:dyDescent="0.25">
      <c r="A1356" s="41">
        <v>5</v>
      </c>
      <c r="B1356" s="41">
        <v>94</v>
      </c>
      <c r="C1356" s="28">
        <v>15.685222599999999</v>
      </c>
      <c r="D1356" s="28">
        <v>7.3001341799999997</v>
      </c>
      <c r="E1356" s="28">
        <v>31.3987354</v>
      </c>
      <c r="F1356" s="28">
        <v>24.802951100000001</v>
      </c>
      <c r="G1356" s="28">
        <v>23.912257700000001</v>
      </c>
      <c r="H1356" s="28">
        <v>76.668365300000005</v>
      </c>
      <c r="I1356" s="28">
        <v>62.325812599999999</v>
      </c>
      <c r="J1356" s="28">
        <v>988.73955999999998</v>
      </c>
      <c r="K1356" s="28">
        <v>994.38698799999997</v>
      </c>
      <c r="L1356" s="42">
        <v>6.6381936699999997</v>
      </c>
      <c r="M1356" s="28">
        <v>133.241668</v>
      </c>
      <c r="N1356" s="28">
        <v>1540.2209499999999</v>
      </c>
      <c r="O1356" s="28">
        <v>1191.1632500000001</v>
      </c>
      <c r="P1356" s="28">
        <v>808.83675000000005</v>
      </c>
    </row>
    <row r="1357" spans="1:16" x14ac:dyDescent="0.25">
      <c r="A1357" s="41">
        <v>5</v>
      </c>
      <c r="B1357" s="41">
        <v>95</v>
      </c>
      <c r="C1357" s="28">
        <v>15.770399400000001</v>
      </c>
      <c r="D1357" s="28">
        <v>7.3201849399999999</v>
      </c>
      <c r="E1357" s="28">
        <v>31.247878</v>
      </c>
      <c r="F1357" s="28">
        <v>24.866555000000002</v>
      </c>
      <c r="G1357" s="28">
        <v>23.842082600000001</v>
      </c>
      <c r="H1357" s="28">
        <v>76.547839199999999</v>
      </c>
      <c r="I1357" s="28">
        <v>62.489885899999997</v>
      </c>
      <c r="J1357" s="28">
        <v>991.91503699999998</v>
      </c>
      <c r="K1357" s="28">
        <v>996.73038899999995</v>
      </c>
      <c r="L1357" s="42">
        <v>6.6353884000000001</v>
      </c>
      <c r="M1357" s="28">
        <v>133.01741799999999</v>
      </c>
      <c r="N1357" s="28">
        <v>1575.1937800000001</v>
      </c>
      <c r="O1357" s="28">
        <v>1190.65987</v>
      </c>
      <c r="P1357" s="28">
        <v>809.34013000000004</v>
      </c>
    </row>
    <row r="1358" spans="1:16" x14ac:dyDescent="0.25">
      <c r="A1358" s="41">
        <v>5</v>
      </c>
      <c r="B1358" s="41">
        <v>96</v>
      </c>
      <c r="C1358" s="28">
        <v>15.8447774</v>
      </c>
      <c r="D1358" s="28">
        <v>7.22643828</v>
      </c>
      <c r="E1358" s="28">
        <v>30.894759199999999</v>
      </c>
      <c r="F1358" s="28">
        <v>24.488956699999999</v>
      </c>
      <c r="G1358" s="28">
        <v>23.8343281</v>
      </c>
      <c r="H1358" s="28">
        <v>75.915795799999998</v>
      </c>
      <c r="I1358" s="28">
        <v>62.807595800000001</v>
      </c>
      <c r="J1358" s="28">
        <v>990.78324899999996</v>
      </c>
      <c r="K1358" s="28">
        <v>987.13386100000002</v>
      </c>
      <c r="L1358" s="42">
        <v>6.6178287899999999</v>
      </c>
      <c r="M1358" s="28">
        <v>132.190538</v>
      </c>
      <c r="N1358" s="28">
        <v>1538.93731</v>
      </c>
      <c r="O1358" s="28">
        <v>1187.5089599999999</v>
      </c>
      <c r="P1358" s="28">
        <v>812.49104</v>
      </c>
    </row>
    <row r="1359" spans="1:16" x14ac:dyDescent="0.25">
      <c r="A1359" s="41">
        <v>5</v>
      </c>
      <c r="B1359" s="41">
        <v>97</v>
      </c>
      <c r="C1359" s="28">
        <v>15.788019</v>
      </c>
      <c r="D1359" s="28">
        <v>7.1909291800000004</v>
      </c>
      <c r="E1359" s="28">
        <v>30.900455600000001</v>
      </c>
      <c r="F1359" s="28">
        <v>24.621087500000002</v>
      </c>
      <c r="G1359" s="28">
        <v>23.822095000000001</v>
      </c>
      <c r="H1359" s="28">
        <v>77.392921400000006</v>
      </c>
      <c r="I1359" s="28">
        <v>62.511959400000002</v>
      </c>
      <c r="J1359" s="28">
        <v>993.92346299999997</v>
      </c>
      <c r="K1359" s="28">
        <v>995.01403400000004</v>
      </c>
      <c r="L1359" s="42">
        <v>6.57468304</v>
      </c>
      <c r="M1359" s="28">
        <v>132.874101</v>
      </c>
      <c r="N1359" s="28">
        <v>1541.88041</v>
      </c>
      <c r="O1359" s="28">
        <v>1179.76684</v>
      </c>
      <c r="P1359" s="28">
        <v>820.23316</v>
      </c>
    </row>
    <row r="1360" spans="1:16" x14ac:dyDescent="0.25">
      <c r="A1360" s="41">
        <v>5</v>
      </c>
      <c r="B1360" s="41">
        <v>98</v>
      </c>
      <c r="C1360" s="28">
        <v>15.7526417</v>
      </c>
      <c r="D1360" s="28">
        <v>7.1132902700000002</v>
      </c>
      <c r="E1360" s="28">
        <v>30.7627712</v>
      </c>
      <c r="F1360" s="28">
        <v>24.498331100000001</v>
      </c>
      <c r="G1360" s="28">
        <v>23.930015699999998</v>
      </c>
      <c r="H1360" s="28">
        <v>77.4516943</v>
      </c>
      <c r="I1360" s="28">
        <v>60.670238400000002</v>
      </c>
      <c r="J1360" s="28">
        <v>992.467625</v>
      </c>
      <c r="K1360" s="28">
        <v>999.59040100000004</v>
      </c>
      <c r="L1360" s="42">
        <v>6.5084012900000001</v>
      </c>
      <c r="M1360" s="28">
        <v>132.10457099999999</v>
      </c>
      <c r="N1360" s="28">
        <v>1501.1325899999999</v>
      </c>
      <c r="O1360" s="28">
        <v>1167.87319</v>
      </c>
      <c r="P1360" s="28">
        <v>832.12680999999998</v>
      </c>
    </row>
    <row r="1361" spans="1:16" x14ac:dyDescent="0.25">
      <c r="A1361" s="41">
        <v>5</v>
      </c>
      <c r="B1361" s="41">
        <v>99</v>
      </c>
      <c r="C1361" s="28">
        <v>15.630284400000001</v>
      </c>
      <c r="D1361" s="28">
        <v>7.1835328499999997</v>
      </c>
      <c r="E1361" s="28">
        <v>30.6752273</v>
      </c>
      <c r="F1361" s="28">
        <v>24.549813199999999</v>
      </c>
      <c r="G1361" s="28">
        <v>24.147130300000001</v>
      </c>
      <c r="H1361" s="28">
        <v>78.129728999999998</v>
      </c>
      <c r="I1361" s="28">
        <v>60.767297999999997</v>
      </c>
      <c r="J1361" s="28">
        <v>994.64793899999995</v>
      </c>
      <c r="K1361" s="28">
        <v>1000.39327</v>
      </c>
      <c r="L1361" s="42">
        <v>6.4396312</v>
      </c>
      <c r="M1361" s="28">
        <v>132.831301</v>
      </c>
      <c r="N1361" s="28">
        <v>1488.1433099999999</v>
      </c>
      <c r="O1361" s="28">
        <v>1155.5330300000001</v>
      </c>
      <c r="P1361" s="28">
        <v>844.46696999999995</v>
      </c>
    </row>
    <row r="1362" spans="1:16" x14ac:dyDescent="0.25">
      <c r="A1362" s="41">
        <v>5</v>
      </c>
      <c r="B1362" s="41">
        <v>100</v>
      </c>
      <c r="C1362" s="28">
        <v>15.6482489</v>
      </c>
      <c r="D1362" s="28">
        <v>7.1263738400000003</v>
      </c>
      <c r="E1362" s="28">
        <v>30.857372600000001</v>
      </c>
      <c r="F1362" s="28">
        <v>24.6554845</v>
      </c>
      <c r="G1362" s="28">
        <v>24.2301532</v>
      </c>
      <c r="H1362" s="28">
        <v>77.295318600000002</v>
      </c>
      <c r="I1362" s="28">
        <v>59.337844099999998</v>
      </c>
      <c r="J1362" s="28">
        <v>992.71683800000005</v>
      </c>
      <c r="K1362" s="28">
        <v>998.20821799999999</v>
      </c>
      <c r="L1362" s="42">
        <v>6.4283053900000002</v>
      </c>
      <c r="M1362" s="28">
        <v>132.12452999999999</v>
      </c>
      <c r="N1362" s="28">
        <v>1468.9733699999999</v>
      </c>
      <c r="O1362" s="28">
        <v>1153.50071</v>
      </c>
      <c r="P1362" s="28">
        <v>846.49928999999997</v>
      </c>
    </row>
    <row r="1363" spans="1:16" x14ac:dyDescent="0.25">
      <c r="A1363" s="41">
        <v>5</v>
      </c>
      <c r="B1363" s="41">
        <v>101</v>
      </c>
      <c r="C1363" s="28">
        <v>15.6386188</v>
      </c>
      <c r="D1363" s="28">
        <v>7.0780953100000001</v>
      </c>
      <c r="E1363" s="28">
        <v>30.907034599999999</v>
      </c>
      <c r="F1363" s="28">
        <v>24.618314099999999</v>
      </c>
      <c r="G1363" s="28">
        <v>24.106267500000001</v>
      </c>
      <c r="H1363" s="28">
        <v>78.012046299999994</v>
      </c>
      <c r="I1363" s="28">
        <v>59.630157500000003</v>
      </c>
      <c r="J1363" s="28">
        <v>995.85978799999998</v>
      </c>
      <c r="K1363" s="28">
        <v>994.53515700000003</v>
      </c>
      <c r="L1363" s="42">
        <v>6.5700985999999997</v>
      </c>
      <c r="M1363" s="28">
        <v>132.51627199999999</v>
      </c>
      <c r="N1363" s="28">
        <v>1481.48939</v>
      </c>
      <c r="O1363" s="28">
        <v>1178.9442100000001</v>
      </c>
      <c r="P1363" s="28">
        <v>821.05579</v>
      </c>
    </row>
    <row r="1364" spans="1:16" x14ac:dyDescent="0.25">
      <c r="A1364" s="41">
        <v>5</v>
      </c>
      <c r="B1364" s="41">
        <v>102</v>
      </c>
      <c r="C1364" s="28">
        <v>15.5969026</v>
      </c>
      <c r="D1364" s="28">
        <v>7.1062153700000001</v>
      </c>
      <c r="E1364" s="28">
        <v>30.596181300000001</v>
      </c>
      <c r="F1364" s="28">
        <v>24.557132299999999</v>
      </c>
      <c r="G1364" s="28">
        <v>23.768725100000001</v>
      </c>
      <c r="H1364" s="28">
        <v>78.269669699999994</v>
      </c>
      <c r="I1364" s="28">
        <v>60.4418851</v>
      </c>
      <c r="J1364" s="28">
        <v>993.75300000000004</v>
      </c>
      <c r="K1364" s="28">
        <v>994.32919800000002</v>
      </c>
      <c r="L1364" s="42">
        <v>6.6186065200000002</v>
      </c>
      <c r="M1364" s="28">
        <v>132.58535000000001</v>
      </c>
      <c r="N1364" s="28">
        <v>1504.6090300000001</v>
      </c>
      <c r="O1364" s="28">
        <v>1187.64851</v>
      </c>
      <c r="P1364" s="28">
        <v>812.35149000000001</v>
      </c>
    </row>
    <row r="1365" spans="1:16" x14ac:dyDescent="0.25">
      <c r="A1365" s="41">
        <v>5</v>
      </c>
      <c r="B1365" s="41">
        <v>103</v>
      </c>
      <c r="C1365" s="28">
        <v>15.3677527</v>
      </c>
      <c r="D1365" s="28">
        <v>7.1174533799999997</v>
      </c>
      <c r="E1365" s="28">
        <v>30.669629700000002</v>
      </c>
      <c r="F1365" s="28">
        <v>24.591049099999999</v>
      </c>
      <c r="G1365" s="28">
        <v>23.251393400000001</v>
      </c>
      <c r="H1365" s="28">
        <v>78.197930600000007</v>
      </c>
      <c r="I1365" s="28">
        <v>60.472459499999999</v>
      </c>
      <c r="J1365" s="28">
        <v>996.29876300000001</v>
      </c>
      <c r="K1365" s="28">
        <v>997.95780000000002</v>
      </c>
      <c r="L1365" s="42">
        <v>6.6149004900000001</v>
      </c>
      <c r="M1365" s="28">
        <v>131.05391800000001</v>
      </c>
      <c r="N1365" s="28">
        <v>1513.10374</v>
      </c>
      <c r="O1365" s="28">
        <v>1186.9835</v>
      </c>
      <c r="P1365" s="28">
        <v>813.01649999999995</v>
      </c>
    </row>
    <row r="1366" spans="1:16" x14ac:dyDescent="0.25">
      <c r="A1366" s="41">
        <v>5</v>
      </c>
      <c r="B1366" s="41">
        <v>104</v>
      </c>
      <c r="C1366" s="28">
        <v>15.162618999999999</v>
      </c>
      <c r="D1366" s="28">
        <v>7.2017131000000001</v>
      </c>
      <c r="E1366" s="28">
        <v>30.666291099999999</v>
      </c>
      <c r="F1366" s="28">
        <v>24.275290099999999</v>
      </c>
      <c r="G1366" s="28">
        <v>23.132315699999999</v>
      </c>
      <c r="H1366" s="28">
        <v>78.209781899999996</v>
      </c>
      <c r="I1366" s="28">
        <v>59.675380599999997</v>
      </c>
      <c r="J1366" s="28">
        <v>993.155485</v>
      </c>
      <c r="K1366" s="28">
        <v>1000.5719800000001</v>
      </c>
      <c r="L1366" s="42">
        <v>6.62773638</v>
      </c>
      <c r="M1366" s="28">
        <v>130.75813099999999</v>
      </c>
      <c r="N1366" s="28">
        <v>1503.01091</v>
      </c>
      <c r="O1366" s="28">
        <v>1189.2867799999999</v>
      </c>
      <c r="P1366" s="28">
        <v>810.71321999999998</v>
      </c>
    </row>
    <row r="1367" spans="1:16" x14ac:dyDescent="0.25">
      <c r="A1367" s="41">
        <v>5</v>
      </c>
      <c r="B1367" s="41">
        <v>105</v>
      </c>
      <c r="C1367" s="28">
        <v>14.854366499999999</v>
      </c>
      <c r="D1367" s="28">
        <v>7.2706060600000004</v>
      </c>
      <c r="E1367" s="28">
        <v>30.740456999999999</v>
      </c>
      <c r="F1367" s="28">
        <v>24.660104100000002</v>
      </c>
      <c r="G1367" s="28">
        <v>23.207864300000001</v>
      </c>
      <c r="H1367" s="28">
        <v>76.921791799999994</v>
      </c>
      <c r="I1367" s="28">
        <v>59.895826399999997</v>
      </c>
      <c r="J1367" s="28">
        <v>995.04169000000002</v>
      </c>
      <c r="K1367" s="28">
        <v>1003.73197</v>
      </c>
      <c r="L1367" s="42">
        <v>6.5623253999999998</v>
      </c>
      <c r="M1367" s="28">
        <v>130.910518</v>
      </c>
      <c r="N1367" s="28">
        <v>1555.8963000000001</v>
      </c>
      <c r="O1367" s="28">
        <v>1177.5493799999999</v>
      </c>
      <c r="P1367" s="28">
        <v>822.45061999999996</v>
      </c>
    </row>
    <row r="1368" spans="1:16" x14ac:dyDescent="0.25">
      <c r="A1368" s="41">
        <v>5</v>
      </c>
      <c r="B1368" s="41">
        <v>106</v>
      </c>
      <c r="C1368" s="28">
        <v>14.880375600000001</v>
      </c>
      <c r="D1368" s="28">
        <v>7.3032543399999996</v>
      </c>
      <c r="E1368" s="28">
        <v>30.9229035</v>
      </c>
      <c r="F1368" s="28">
        <v>24.925499299999998</v>
      </c>
      <c r="G1368" s="28">
        <v>22.999721300000001</v>
      </c>
      <c r="H1368" s="28">
        <v>76.991789900000001</v>
      </c>
      <c r="I1368" s="28">
        <v>58.944236699999998</v>
      </c>
      <c r="J1368" s="28">
        <v>992.57018500000004</v>
      </c>
      <c r="K1368" s="28">
        <v>1004.95803</v>
      </c>
      <c r="L1368" s="42">
        <v>6.5736950099999998</v>
      </c>
      <c r="M1368" s="28">
        <v>131.156003</v>
      </c>
      <c r="N1368" s="28">
        <v>1561.8903399999999</v>
      </c>
      <c r="O1368" s="28">
        <v>1179.5895499999999</v>
      </c>
      <c r="P1368" s="28">
        <v>820.41044999999997</v>
      </c>
    </row>
    <row r="1369" spans="1:16" x14ac:dyDescent="0.25">
      <c r="A1369" s="41">
        <v>5</v>
      </c>
      <c r="B1369" s="41">
        <v>107</v>
      </c>
      <c r="C1369" s="28">
        <v>14.8491316</v>
      </c>
      <c r="D1369" s="28">
        <v>7.3384120599999996</v>
      </c>
      <c r="E1369" s="28">
        <v>30.4046941</v>
      </c>
      <c r="F1369" s="28">
        <v>24.893838800000001</v>
      </c>
      <c r="G1369" s="28">
        <v>22.873174200000001</v>
      </c>
      <c r="H1369" s="28">
        <v>76.865758499999998</v>
      </c>
      <c r="I1369" s="28">
        <v>59.2270106</v>
      </c>
      <c r="J1369" s="28">
        <v>995.82909600000005</v>
      </c>
      <c r="K1369" s="28">
        <v>1009.5762</v>
      </c>
      <c r="L1369" s="42">
        <v>6.4914349099999997</v>
      </c>
      <c r="M1369" s="28">
        <v>130.96430100000001</v>
      </c>
      <c r="N1369" s="28">
        <v>1565.5893900000001</v>
      </c>
      <c r="O1369" s="28">
        <v>1164.82873</v>
      </c>
      <c r="P1369" s="28">
        <v>835.17127000000005</v>
      </c>
    </row>
    <row r="1370" spans="1:16" x14ac:dyDescent="0.25">
      <c r="A1370" s="41">
        <v>5</v>
      </c>
      <c r="B1370" s="41">
        <v>108</v>
      </c>
      <c r="C1370" s="28">
        <v>14.959258999999999</v>
      </c>
      <c r="D1370" s="28">
        <v>7.4086957800000004</v>
      </c>
      <c r="E1370" s="28">
        <v>30.494861</v>
      </c>
      <c r="F1370" s="28">
        <v>25.0171943</v>
      </c>
      <c r="G1370" s="28">
        <v>23.0367313</v>
      </c>
      <c r="H1370" s="28">
        <v>76.072750200000002</v>
      </c>
      <c r="I1370" s="28">
        <v>58.760333299999999</v>
      </c>
      <c r="J1370" s="28">
        <v>993.21476099999995</v>
      </c>
      <c r="K1370" s="28">
        <v>1008.17121</v>
      </c>
      <c r="L1370" s="42">
        <v>6.3987423100000003</v>
      </c>
      <c r="M1370" s="28">
        <v>130.91124300000001</v>
      </c>
      <c r="N1370" s="28">
        <v>1576.7728999999999</v>
      </c>
      <c r="O1370" s="28">
        <v>1148.19589</v>
      </c>
      <c r="P1370" s="28">
        <v>851.80411000000004</v>
      </c>
    </row>
    <row r="1371" spans="1:16" x14ac:dyDescent="0.25">
      <c r="A1371" s="41">
        <v>5</v>
      </c>
      <c r="B1371" s="41">
        <v>109</v>
      </c>
      <c r="C1371" s="28">
        <v>14.871589699999999</v>
      </c>
      <c r="D1371" s="28">
        <v>7.3326553499999996</v>
      </c>
      <c r="E1371" s="28">
        <v>30.6825419</v>
      </c>
      <c r="F1371" s="28">
        <v>25.155393400000001</v>
      </c>
      <c r="G1371" s="28">
        <v>22.894173299999999</v>
      </c>
      <c r="H1371" s="28">
        <v>76.836348799999996</v>
      </c>
      <c r="I1371" s="28">
        <v>58.2270702</v>
      </c>
      <c r="J1371" s="28">
        <v>996.30454899999995</v>
      </c>
      <c r="K1371" s="28">
        <v>1006.88811</v>
      </c>
      <c r="L1371" s="42">
        <v>6.4190655999999997</v>
      </c>
      <c r="M1371" s="28">
        <v>131.102069</v>
      </c>
      <c r="N1371" s="28">
        <v>1574.3801100000001</v>
      </c>
      <c r="O1371" s="28">
        <v>1151.8427200000001</v>
      </c>
      <c r="P1371" s="28">
        <v>848.15728000000001</v>
      </c>
    </row>
    <row r="1372" spans="1:16" x14ac:dyDescent="0.25">
      <c r="A1372" s="41">
        <v>5</v>
      </c>
      <c r="B1372" s="41">
        <v>110</v>
      </c>
      <c r="C1372" s="28">
        <v>14.893671100000001</v>
      </c>
      <c r="D1372" s="28">
        <v>7.4232315599999996</v>
      </c>
      <c r="E1372" s="28">
        <v>31.002353899999999</v>
      </c>
      <c r="F1372" s="28">
        <v>25.335807599999999</v>
      </c>
      <c r="G1372" s="28">
        <v>22.577932199999999</v>
      </c>
      <c r="H1372" s="28">
        <v>77.185768800000005</v>
      </c>
      <c r="I1372" s="28">
        <v>57.822163500000002</v>
      </c>
      <c r="J1372" s="28">
        <v>993.15437099999997</v>
      </c>
      <c r="K1372" s="28">
        <v>999.42445399999997</v>
      </c>
      <c r="L1372" s="42">
        <v>6.3240532600000003</v>
      </c>
      <c r="M1372" s="28">
        <v>131.62140299999999</v>
      </c>
      <c r="N1372" s="28">
        <v>1585.56969</v>
      </c>
      <c r="O1372" s="28">
        <v>1134.7936199999999</v>
      </c>
      <c r="P1372" s="28">
        <v>865.20637999999997</v>
      </c>
    </row>
    <row r="1373" spans="1:16" x14ac:dyDescent="0.25">
      <c r="A1373" s="41">
        <v>5</v>
      </c>
      <c r="B1373" s="41">
        <v>111</v>
      </c>
      <c r="C1373" s="28">
        <v>14.878212</v>
      </c>
      <c r="D1373" s="28">
        <v>7.3857716199999999</v>
      </c>
      <c r="E1373" s="28">
        <v>30.762481399999999</v>
      </c>
      <c r="F1373" s="28">
        <v>25.379272400000001</v>
      </c>
      <c r="G1373" s="28">
        <v>22.346418499999999</v>
      </c>
      <c r="H1373" s="28">
        <v>77.227157399999996</v>
      </c>
      <c r="I1373" s="28">
        <v>57.554927499999998</v>
      </c>
      <c r="J1373" s="28">
        <v>996.63144499999999</v>
      </c>
      <c r="K1373" s="28">
        <v>999.20053499999995</v>
      </c>
      <c r="L1373" s="42">
        <v>6.3525907899999998</v>
      </c>
      <c r="M1373" s="28">
        <v>131.402028</v>
      </c>
      <c r="N1373" s="28">
        <v>1640.8882900000001</v>
      </c>
      <c r="O1373" s="28">
        <v>1139.9144200000001</v>
      </c>
      <c r="P1373" s="28">
        <v>860.08558000000005</v>
      </c>
    </row>
    <row r="1374" spans="1:16" x14ac:dyDescent="0.25">
      <c r="A1374" s="41">
        <v>5</v>
      </c>
      <c r="B1374" s="41">
        <v>112</v>
      </c>
      <c r="C1374" s="28">
        <v>14.915944700000001</v>
      </c>
      <c r="D1374" s="28">
        <v>7.3119729900000001</v>
      </c>
      <c r="E1374" s="28">
        <v>30.563759699999999</v>
      </c>
      <c r="F1374" s="28">
        <v>25.285471900000001</v>
      </c>
      <c r="G1374" s="28">
        <v>22.180655600000001</v>
      </c>
      <c r="H1374" s="28">
        <v>76.125633100000002</v>
      </c>
      <c r="I1374" s="28">
        <v>56.962803399999999</v>
      </c>
      <c r="J1374" s="28">
        <v>995.62671399999999</v>
      </c>
      <c r="K1374" s="28">
        <v>1000.69192</v>
      </c>
      <c r="L1374" s="42">
        <v>6.35278396</v>
      </c>
      <c r="M1374" s="28">
        <v>130.436961</v>
      </c>
      <c r="N1374" s="28">
        <v>1642.8591100000001</v>
      </c>
      <c r="O1374" s="28">
        <v>1139.9490800000001</v>
      </c>
      <c r="P1374" s="28">
        <v>860.05092000000002</v>
      </c>
    </row>
    <row r="1375" spans="1:16" x14ac:dyDescent="0.25">
      <c r="A1375" s="41">
        <v>5</v>
      </c>
      <c r="B1375" s="41">
        <v>113</v>
      </c>
      <c r="C1375" s="28">
        <v>14.951136399999999</v>
      </c>
      <c r="D1375" s="28">
        <v>7.3978596799999998</v>
      </c>
      <c r="E1375" s="28">
        <v>30.407274999999998</v>
      </c>
      <c r="F1375" s="28">
        <v>25.307074199999999</v>
      </c>
      <c r="G1375" s="28">
        <v>21.965080799999999</v>
      </c>
      <c r="H1375" s="28">
        <v>75.9226338</v>
      </c>
      <c r="I1375" s="28">
        <v>56.513103200000003</v>
      </c>
      <c r="J1375" s="28">
        <v>997.98260000000005</v>
      </c>
      <c r="K1375" s="28">
        <v>1008.98688</v>
      </c>
      <c r="L1375" s="42">
        <v>6.3317223599999997</v>
      </c>
      <c r="M1375" s="28">
        <v>130.91528600000001</v>
      </c>
      <c r="N1375" s="28">
        <v>1638.03874</v>
      </c>
      <c r="O1375" s="28">
        <v>1136.16977</v>
      </c>
      <c r="P1375" s="28">
        <v>863.83023000000003</v>
      </c>
    </row>
    <row r="1376" spans="1:16" x14ac:dyDescent="0.25">
      <c r="A1376" s="41">
        <v>5</v>
      </c>
      <c r="B1376" s="41">
        <v>114</v>
      </c>
      <c r="C1376" s="28">
        <v>14.9941548</v>
      </c>
      <c r="D1376" s="28">
        <v>7.4665660100000002</v>
      </c>
      <c r="E1376" s="28">
        <v>30.100828199999999</v>
      </c>
      <c r="F1376" s="28">
        <v>25.374316499999999</v>
      </c>
      <c r="G1376" s="28">
        <v>21.967420300000001</v>
      </c>
      <c r="H1376" s="28">
        <v>75.5334158</v>
      </c>
      <c r="I1376" s="28">
        <v>56.3413185</v>
      </c>
      <c r="J1376" s="28">
        <v>995.91800499999999</v>
      </c>
      <c r="K1376" s="28">
        <v>1006.30127</v>
      </c>
      <c r="L1376" s="42">
        <v>6.35847111</v>
      </c>
      <c r="M1376" s="28">
        <v>131.07414399999999</v>
      </c>
      <c r="N1376" s="28">
        <v>1658.5722599999999</v>
      </c>
      <c r="O1376" s="28">
        <v>1140.9695899999999</v>
      </c>
      <c r="P1376" s="28">
        <v>859.03040999999996</v>
      </c>
    </row>
    <row r="1377" spans="1:16" x14ac:dyDescent="0.25">
      <c r="A1377" s="41">
        <v>5</v>
      </c>
      <c r="B1377" s="41">
        <v>115</v>
      </c>
      <c r="C1377" s="28">
        <v>15.0796867</v>
      </c>
      <c r="D1377" s="28">
        <v>7.4618638600000002</v>
      </c>
      <c r="E1377" s="28">
        <v>30.331756299999999</v>
      </c>
      <c r="F1377" s="28">
        <v>25.419681400000002</v>
      </c>
      <c r="G1377" s="28">
        <v>22.004076900000001</v>
      </c>
      <c r="H1377" s="28">
        <v>74.632584600000001</v>
      </c>
      <c r="I1377" s="28">
        <v>57.323689000000002</v>
      </c>
      <c r="J1377" s="28">
        <v>998.19628599999999</v>
      </c>
      <c r="K1377" s="28">
        <v>1003.91738</v>
      </c>
      <c r="L1377" s="42">
        <v>6.1919871999999998</v>
      </c>
      <c r="M1377" s="28">
        <v>131.63071299999999</v>
      </c>
      <c r="N1377" s="28">
        <v>1636.2529400000001</v>
      </c>
      <c r="O1377" s="28">
        <v>1111.09557</v>
      </c>
      <c r="P1377" s="28">
        <v>888.90443000000005</v>
      </c>
    </row>
    <row r="1378" spans="1:16" x14ac:dyDescent="0.25">
      <c r="A1378" s="41">
        <v>5</v>
      </c>
      <c r="B1378" s="41">
        <v>116</v>
      </c>
      <c r="C1378" s="28">
        <v>15.1325346</v>
      </c>
      <c r="D1378" s="28">
        <v>7.5512603599999997</v>
      </c>
      <c r="E1378" s="28">
        <v>30.4800401</v>
      </c>
      <c r="F1378" s="28">
        <v>25.385244799999999</v>
      </c>
      <c r="G1378" s="28">
        <v>21.926480300000001</v>
      </c>
      <c r="H1378" s="28">
        <v>75.024643900000001</v>
      </c>
      <c r="I1378" s="28">
        <v>56.4812017</v>
      </c>
      <c r="J1378" s="28">
        <v>995.37138000000004</v>
      </c>
      <c r="K1378" s="28">
        <v>998.50399500000003</v>
      </c>
      <c r="L1378" s="42">
        <v>6.1621845200000003</v>
      </c>
      <c r="M1378" s="28">
        <v>131.83694399999999</v>
      </c>
      <c r="N1378" s="28">
        <v>1648.42662</v>
      </c>
      <c r="O1378" s="28">
        <v>1105.74775</v>
      </c>
      <c r="P1378" s="28">
        <v>894.25225</v>
      </c>
    </row>
    <row r="1379" spans="1:16" x14ac:dyDescent="0.25">
      <c r="A1379" s="41">
        <v>5</v>
      </c>
      <c r="B1379" s="41">
        <v>117</v>
      </c>
      <c r="C1379" s="28">
        <v>15.1430208</v>
      </c>
      <c r="D1379" s="28">
        <v>7.63299752</v>
      </c>
      <c r="E1379" s="28">
        <v>30.658166000000001</v>
      </c>
      <c r="F1379" s="28">
        <v>25.274208000000002</v>
      </c>
      <c r="G1379" s="28">
        <v>21.964386399999999</v>
      </c>
      <c r="H1379" s="28">
        <v>76.152785199999997</v>
      </c>
      <c r="I1379" s="28">
        <v>57.252973500000003</v>
      </c>
      <c r="J1379" s="28">
        <v>996.73928699999999</v>
      </c>
      <c r="K1379" s="28">
        <v>1004.5984099999999</v>
      </c>
      <c r="L1379" s="42">
        <v>6.1400478200000004</v>
      </c>
      <c r="M1379" s="28">
        <v>132.08271400000001</v>
      </c>
      <c r="N1379" s="28">
        <v>1658.84166</v>
      </c>
      <c r="O1379" s="28">
        <v>1101.7755199999999</v>
      </c>
      <c r="P1379" s="28">
        <v>898.22447999999997</v>
      </c>
    </row>
    <row r="1380" spans="1:16" x14ac:dyDescent="0.25">
      <c r="A1380" s="41">
        <v>5</v>
      </c>
      <c r="B1380" s="41">
        <v>118</v>
      </c>
      <c r="C1380" s="28">
        <v>15.1130917</v>
      </c>
      <c r="D1380" s="28">
        <v>7.6550157199999997</v>
      </c>
      <c r="E1380" s="28">
        <v>30.4646127</v>
      </c>
      <c r="F1380" s="28">
        <v>25.135183999999999</v>
      </c>
      <c r="G1380" s="28">
        <v>21.995127499999999</v>
      </c>
      <c r="H1380" s="28">
        <v>76.639922299999995</v>
      </c>
      <c r="I1380" s="28">
        <v>57.941622199999998</v>
      </c>
      <c r="J1380" s="28">
        <v>994.59001699999999</v>
      </c>
      <c r="K1380" s="28">
        <v>1003.7524</v>
      </c>
      <c r="L1380" s="42">
        <v>6.1019537599999998</v>
      </c>
      <c r="M1380" s="28">
        <v>132.731177</v>
      </c>
      <c r="N1380" s="28">
        <v>1655.8872699999999</v>
      </c>
      <c r="O1380" s="28">
        <v>1094.9398900000001</v>
      </c>
      <c r="P1380" s="28">
        <v>905.06011000000001</v>
      </c>
    </row>
    <row r="1381" spans="1:16" x14ac:dyDescent="0.25">
      <c r="A1381" s="41">
        <v>5</v>
      </c>
      <c r="B1381" s="41">
        <v>119</v>
      </c>
      <c r="C1381" s="28">
        <v>14.9614239</v>
      </c>
      <c r="D1381" s="28">
        <v>7.6014710599999997</v>
      </c>
      <c r="E1381" s="28">
        <v>30.695443000000001</v>
      </c>
      <c r="F1381" s="28">
        <v>25.0401785</v>
      </c>
      <c r="G1381" s="28">
        <v>22.0187189</v>
      </c>
      <c r="H1381" s="28">
        <v>76.745460300000005</v>
      </c>
      <c r="I1381" s="28">
        <v>57.812945999999997</v>
      </c>
      <c r="J1381" s="28">
        <v>996.83777499999997</v>
      </c>
      <c r="K1381" s="28">
        <v>1003.14947</v>
      </c>
      <c r="L1381" s="42">
        <v>6.2350287499999997</v>
      </c>
      <c r="M1381" s="28">
        <v>132.02492000000001</v>
      </c>
      <c r="N1381" s="28">
        <v>1661.2435800000001</v>
      </c>
      <c r="O1381" s="28">
        <v>1118.81898</v>
      </c>
      <c r="P1381" s="28">
        <v>881.18101999999999</v>
      </c>
    </row>
    <row r="1382" spans="1:16" x14ac:dyDescent="0.25">
      <c r="A1382" s="41">
        <v>5</v>
      </c>
      <c r="B1382" s="41">
        <v>120</v>
      </c>
      <c r="C1382" s="28">
        <v>14.819293099999999</v>
      </c>
      <c r="D1382" s="28">
        <v>7.5683273499999997</v>
      </c>
      <c r="E1382" s="28">
        <v>31.170505899999998</v>
      </c>
      <c r="F1382" s="28">
        <v>25.235810000000001</v>
      </c>
      <c r="G1382" s="28">
        <v>21.933166100000001</v>
      </c>
      <c r="H1382" s="28">
        <v>76.716646800000007</v>
      </c>
      <c r="I1382" s="28">
        <v>57.766354499999998</v>
      </c>
      <c r="J1382" s="28">
        <v>994.21669099999997</v>
      </c>
      <c r="K1382" s="28">
        <v>1003.44515</v>
      </c>
      <c r="L1382" s="42">
        <v>6.1432590600000001</v>
      </c>
      <c r="M1382" s="28">
        <v>132.08946</v>
      </c>
      <c r="N1382" s="28">
        <v>1651.1714400000001</v>
      </c>
      <c r="O1382" s="28">
        <v>1102.35175</v>
      </c>
      <c r="P1382" s="28">
        <v>897.64824999999996</v>
      </c>
    </row>
    <row r="1383" spans="1:16" x14ac:dyDescent="0.25">
      <c r="A1383" s="41">
        <v>5</v>
      </c>
      <c r="B1383" s="41">
        <v>121</v>
      </c>
      <c r="C1383" s="28">
        <v>14.778777699999999</v>
      </c>
      <c r="D1383" s="28">
        <v>7.5238963800000001</v>
      </c>
      <c r="E1383" s="28">
        <v>31.374539599999999</v>
      </c>
      <c r="F1383" s="28">
        <v>25.192035400000002</v>
      </c>
      <c r="G1383" s="28">
        <v>21.903632300000002</v>
      </c>
      <c r="H1383" s="28">
        <v>77.278383500000004</v>
      </c>
      <c r="I1383" s="28">
        <v>58.300826100000002</v>
      </c>
      <c r="J1383" s="28">
        <v>996.42967799999997</v>
      </c>
      <c r="K1383" s="28">
        <v>1005.94064</v>
      </c>
      <c r="L1383" s="42">
        <v>6.1386432199999996</v>
      </c>
      <c r="M1383" s="28">
        <v>132.40049500000001</v>
      </c>
      <c r="N1383" s="28">
        <v>1679.9965299999999</v>
      </c>
      <c r="O1383" s="28">
        <v>1101.5234800000001</v>
      </c>
      <c r="P1383" s="28">
        <v>898.47652000000005</v>
      </c>
    </row>
    <row r="1384" spans="1:16" x14ac:dyDescent="0.25">
      <c r="A1384" s="41">
        <v>5</v>
      </c>
      <c r="B1384" s="41">
        <v>122</v>
      </c>
      <c r="C1384" s="28">
        <v>14.871865</v>
      </c>
      <c r="D1384" s="28">
        <v>7.5642010900000001</v>
      </c>
      <c r="E1384" s="28">
        <v>31.066927400000001</v>
      </c>
      <c r="F1384" s="28">
        <v>24.987885200000001</v>
      </c>
      <c r="G1384" s="28">
        <v>22.116001600000001</v>
      </c>
      <c r="H1384" s="28">
        <v>77.557286399999995</v>
      </c>
      <c r="I1384" s="28">
        <v>58.557101799999998</v>
      </c>
      <c r="J1384" s="28">
        <v>994.46630200000004</v>
      </c>
      <c r="K1384" s="28">
        <v>1008.95723</v>
      </c>
      <c r="L1384" s="42">
        <v>6.2553149399999999</v>
      </c>
      <c r="M1384" s="28">
        <v>132.37364600000001</v>
      </c>
      <c r="N1384" s="28">
        <v>1672.4405300000001</v>
      </c>
      <c r="O1384" s="28">
        <v>1122.4591600000001</v>
      </c>
      <c r="P1384" s="28">
        <v>877.54084</v>
      </c>
    </row>
    <row r="1385" spans="1:16" x14ac:dyDescent="0.25">
      <c r="A1385" s="41">
        <v>5</v>
      </c>
      <c r="B1385" s="41">
        <v>123</v>
      </c>
      <c r="C1385" s="28">
        <v>14.8086416</v>
      </c>
      <c r="D1385" s="28">
        <v>7.6228180200000004</v>
      </c>
      <c r="E1385" s="28">
        <v>31.096614500000001</v>
      </c>
      <c r="F1385" s="28">
        <v>25.152391999999999</v>
      </c>
      <c r="G1385" s="28">
        <v>22.145817300000001</v>
      </c>
      <c r="H1385" s="28">
        <v>78.022688900000006</v>
      </c>
      <c r="I1385" s="28">
        <v>58.7204549</v>
      </c>
      <c r="J1385" s="28">
        <v>996.18797700000005</v>
      </c>
      <c r="K1385" s="28">
        <v>1011.92242</v>
      </c>
      <c r="L1385" s="42">
        <v>6.20449859</v>
      </c>
      <c r="M1385" s="28">
        <v>133.44813099999999</v>
      </c>
      <c r="N1385" s="28">
        <v>1676.7607800000001</v>
      </c>
      <c r="O1385" s="28">
        <v>1113.3406199999999</v>
      </c>
      <c r="P1385" s="28">
        <v>886.65938000000006</v>
      </c>
    </row>
    <row r="1386" spans="1:16" x14ac:dyDescent="0.25">
      <c r="A1386" s="41">
        <v>5</v>
      </c>
      <c r="B1386" s="41">
        <v>124</v>
      </c>
      <c r="C1386" s="28">
        <v>14.649404199999999</v>
      </c>
      <c r="D1386" s="28">
        <v>7.5777657400000002</v>
      </c>
      <c r="E1386" s="28">
        <v>30.655991100000001</v>
      </c>
      <c r="F1386" s="28">
        <v>25.109155000000001</v>
      </c>
      <c r="G1386" s="28">
        <v>22.0273149</v>
      </c>
      <c r="H1386" s="28">
        <v>78.684258299999996</v>
      </c>
      <c r="I1386" s="28">
        <v>58.764545200000001</v>
      </c>
      <c r="J1386" s="28">
        <v>994.91942600000004</v>
      </c>
      <c r="K1386" s="28">
        <v>1007.73035</v>
      </c>
      <c r="L1386" s="42">
        <v>6.2209047499999999</v>
      </c>
      <c r="M1386" s="28">
        <v>132.51345800000001</v>
      </c>
      <c r="N1386" s="28">
        <v>1666.0018500000001</v>
      </c>
      <c r="O1386" s="28">
        <v>1116.2845600000001</v>
      </c>
      <c r="P1386" s="28">
        <v>883.71543999999994</v>
      </c>
    </row>
    <row r="1387" spans="1:16" x14ac:dyDescent="0.25">
      <c r="A1387" s="41">
        <v>5</v>
      </c>
      <c r="B1387" s="41">
        <v>125</v>
      </c>
      <c r="C1387" s="28">
        <v>14.591279200000001</v>
      </c>
      <c r="D1387" s="28">
        <v>7.59723784</v>
      </c>
      <c r="E1387" s="28">
        <v>30.4704069</v>
      </c>
      <c r="F1387" s="28">
        <v>25.060675</v>
      </c>
      <c r="G1387" s="28">
        <v>21.725198599999999</v>
      </c>
      <c r="H1387" s="28">
        <v>79.4409268</v>
      </c>
      <c r="I1387" s="28">
        <v>59.478327</v>
      </c>
      <c r="J1387" s="28">
        <v>997.17064300000004</v>
      </c>
      <c r="K1387" s="28">
        <v>1007.5774699999999</v>
      </c>
      <c r="L1387" s="42">
        <v>6.1724615099999998</v>
      </c>
      <c r="M1387" s="28">
        <v>132.268674</v>
      </c>
      <c r="N1387" s="28">
        <v>1677.45243</v>
      </c>
      <c r="O1387" s="28">
        <v>1107.59186</v>
      </c>
      <c r="P1387" s="28">
        <v>892.40814</v>
      </c>
    </row>
    <row r="1388" spans="1:16" x14ac:dyDescent="0.25">
      <c r="A1388" s="41">
        <v>5</v>
      </c>
      <c r="B1388" s="41">
        <v>126</v>
      </c>
      <c r="C1388" s="28">
        <v>14.652243</v>
      </c>
      <c r="D1388" s="28">
        <v>7.5635050499999998</v>
      </c>
      <c r="E1388" s="28">
        <v>30.736020799999999</v>
      </c>
      <c r="F1388" s="28">
        <v>25.227818500000001</v>
      </c>
      <c r="G1388" s="28">
        <v>21.9569975</v>
      </c>
      <c r="H1388" s="28">
        <v>80.7138159</v>
      </c>
      <c r="I1388" s="28">
        <v>60.604182000000002</v>
      </c>
      <c r="J1388" s="28">
        <v>994.82001100000002</v>
      </c>
      <c r="K1388" s="28">
        <v>1002.37918</v>
      </c>
      <c r="L1388" s="42">
        <v>6.1853965799999999</v>
      </c>
      <c r="M1388" s="28">
        <v>132.99163300000001</v>
      </c>
      <c r="N1388" s="28">
        <v>1669.8706999999999</v>
      </c>
      <c r="O1388" s="28">
        <v>1109.9129399999999</v>
      </c>
      <c r="P1388" s="28">
        <v>890.08705999999995</v>
      </c>
    </row>
    <row r="1389" spans="1:16" x14ac:dyDescent="0.25">
      <c r="A1389" s="41">
        <v>5</v>
      </c>
      <c r="B1389" s="41">
        <v>127</v>
      </c>
      <c r="C1389" s="28">
        <v>14.8045025</v>
      </c>
      <c r="D1389" s="28">
        <v>7.6238635400000003</v>
      </c>
      <c r="E1389" s="28">
        <v>30.953871899999999</v>
      </c>
      <c r="F1389" s="28">
        <v>25.5828633</v>
      </c>
      <c r="G1389" s="28">
        <v>21.610805800000001</v>
      </c>
      <c r="H1389" s="28">
        <v>80.099147099999996</v>
      </c>
      <c r="I1389" s="28">
        <v>60.770825700000003</v>
      </c>
      <c r="J1389" s="28">
        <v>996.669487</v>
      </c>
      <c r="K1389" s="28">
        <v>1002.27986</v>
      </c>
      <c r="L1389" s="42">
        <v>6.2638233000000003</v>
      </c>
      <c r="M1389" s="28">
        <v>133.03069099999999</v>
      </c>
      <c r="N1389" s="28">
        <v>1676.9910500000001</v>
      </c>
      <c r="O1389" s="28">
        <v>1123.9858999999999</v>
      </c>
      <c r="P1389" s="28">
        <v>876.01409999999998</v>
      </c>
    </row>
    <row r="1390" spans="1:16" x14ac:dyDescent="0.25">
      <c r="A1390" s="41">
        <v>5</v>
      </c>
      <c r="B1390" s="41">
        <v>128</v>
      </c>
      <c r="C1390" s="28">
        <v>14.994504299999999</v>
      </c>
      <c r="D1390" s="28">
        <v>7.6604869400000002</v>
      </c>
      <c r="E1390" s="28">
        <v>31.215410500000001</v>
      </c>
      <c r="F1390" s="28">
        <v>26.1420785</v>
      </c>
      <c r="G1390" s="28">
        <v>21.811395900000001</v>
      </c>
      <c r="H1390" s="28">
        <v>79.099624899999995</v>
      </c>
      <c r="I1390" s="28">
        <v>61.949421899999997</v>
      </c>
      <c r="J1390" s="28">
        <v>994.22585900000001</v>
      </c>
      <c r="K1390" s="28">
        <v>1003.34811</v>
      </c>
      <c r="L1390" s="42">
        <v>6.2836750300000004</v>
      </c>
      <c r="M1390" s="28">
        <v>133.39832100000001</v>
      </c>
      <c r="N1390" s="28">
        <v>1654.2513200000001</v>
      </c>
      <c r="O1390" s="28">
        <v>1127.54811</v>
      </c>
      <c r="P1390" s="28">
        <v>872.45189000000005</v>
      </c>
    </row>
    <row r="1391" spans="1:16" x14ac:dyDescent="0.25">
      <c r="A1391" s="41">
        <v>5</v>
      </c>
      <c r="B1391" s="41">
        <v>129</v>
      </c>
      <c r="C1391" s="28">
        <v>15.0691676</v>
      </c>
      <c r="D1391" s="28">
        <v>7.6843952800000004</v>
      </c>
      <c r="E1391" s="28">
        <v>30.945489200000001</v>
      </c>
      <c r="F1391" s="28">
        <v>26.006652599999999</v>
      </c>
      <c r="G1391" s="28">
        <v>21.726891500000001</v>
      </c>
      <c r="H1391" s="28">
        <v>79.485531499999993</v>
      </c>
      <c r="I1391" s="28">
        <v>63.6289424</v>
      </c>
      <c r="J1391" s="28">
        <v>996.42487100000005</v>
      </c>
      <c r="K1391" s="28">
        <v>1005.9696</v>
      </c>
      <c r="L1391" s="42">
        <v>6.3545592700000002</v>
      </c>
      <c r="M1391" s="28">
        <v>133.19096300000001</v>
      </c>
      <c r="N1391" s="28">
        <v>1674.9363800000001</v>
      </c>
      <c r="O1391" s="28">
        <v>1140.26764</v>
      </c>
      <c r="P1391" s="28">
        <v>859.73235999999997</v>
      </c>
    </row>
    <row r="1392" spans="1:16" x14ac:dyDescent="0.25">
      <c r="A1392" s="41">
        <v>5</v>
      </c>
      <c r="B1392" s="41">
        <v>130</v>
      </c>
      <c r="C1392" s="28">
        <v>15.0310322</v>
      </c>
      <c r="D1392" s="28">
        <v>7.6940911099999996</v>
      </c>
      <c r="E1392" s="28">
        <v>31.1023894</v>
      </c>
      <c r="F1392" s="28">
        <v>26.136042400000001</v>
      </c>
      <c r="G1392" s="28">
        <v>21.711843300000002</v>
      </c>
      <c r="H1392" s="28">
        <v>80.797062299999993</v>
      </c>
      <c r="I1392" s="28">
        <v>63.819244300000001</v>
      </c>
      <c r="J1392" s="28">
        <v>993.99854800000003</v>
      </c>
      <c r="K1392" s="28">
        <v>1005.75132</v>
      </c>
      <c r="L1392" s="42">
        <v>6.20088287</v>
      </c>
      <c r="M1392" s="28">
        <v>133.62192200000001</v>
      </c>
      <c r="N1392" s="28">
        <v>1675.9409000000001</v>
      </c>
      <c r="O1392" s="28">
        <v>1112.69182</v>
      </c>
      <c r="P1392" s="28">
        <v>887.30817999999999</v>
      </c>
    </row>
    <row r="1393" spans="1:16" x14ac:dyDescent="0.25">
      <c r="A1393" s="41">
        <v>5</v>
      </c>
      <c r="B1393" s="41">
        <v>131</v>
      </c>
      <c r="C1393" s="28">
        <v>15.1075549</v>
      </c>
      <c r="D1393" s="28">
        <v>7.7328338199999997</v>
      </c>
      <c r="E1393" s="28">
        <v>31.3507903</v>
      </c>
      <c r="F1393" s="28">
        <v>26.102187700000002</v>
      </c>
      <c r="G1393" s="28">
        <v>21.838809900000001</v>
      </c>
      <c r="H1393" s="28">
        <v>80.409007799999998</v>
      </c>
      <c r="I1393" s="28">
        <v>63.181588599999998</v>
      </c>
      <c r="J1393" s="28">
        <v>995.55581400000005</v>
      </c>
      <c r="K1393" s="28">
        <v>1006.02179</v>
      </c>
      <c r="L1393" s="42">
        <v>6.1560556000000002</v>
      </c>
      <c r="M1393" s="28">
        <v>133.64749599999999</v>
      </c>
      <c r="N1393" s="28">
        <v>1672.2018</v>
      </c>
      <c r="O1393" s="28">
        <v>1104.64797</v>
      </c>
      <c r="P1393" s="28">
        <v>895.35203000000001</v>
      </c>
    </row>
    <row r="1394" spans="1:16" x14ac:dyDescent="0.25">
      <c r="A1394" s="41">
        <v>5</v>
      </c>
      <c r="B1394" s="41">
        <v>132</v>
      </c>
      <c r="C1394" s="28">
        <v>15.3076966</v>
      </c>
      <c r="D1394" s="28">
        <v>7.6796573800000001</v>
      </c>
      <c r="E1394" s="28">
        <v>31.026734600000001</v>
      </c>
      <c r="F1394" s="28">
        <v>26.1113061</v>
      </c>
      <c r="G1394" s="28">
        <v>21.722640299999998</v>
      </c>
      <c r="H1394" s="28">
        <v>80.146037800000002</v>
      </c>
      <c r="I1394" s="28">
        <v>62.494236000000001</v>
      </c>
      <c r="J1394" s="28">
        <v>994.95219799999995</v>
      </c>
      <c r="K1394" s="28">
        <v>1005.83807</v>
      </c>
      <c r="L1394" s="42">
        <v>6.11695821</v>
      </c>
      <c r="M1394" s="28">
        <v>134.03246899999999</v>
      </c>
      <c r="N1394" s="28">
        <v>1668.46029</v>
      </c>
      <c r="O1394" s="28">
        <v>1097.6323</v>
      </c>
      <c r="P1394" s="28">
        <v>902.36770000000001</v>
      </c>
    </row>
    <row r="1395" spans="1:16" x14ac:dyDescent="0.25">
      <c r="A1395" s="41">
        <v>5</v>
      </c>
      <c r="B1395" s="41">
        <v>133</v>
      </c>
      <c r="C1395" s="28">
        <v>15.2926684</v>
      </c>
      <c r="D1395" s="28">
        <v>7.6226726200000003</v>
      </c>
      <c r="E1395" s="28">
        <v>31.040896700000001</v>
      </c>
      <c r="F1395" s="28">
        <v>26.160117199999998</v>
      </c>
      <c r="G1395" s="28">
        <v>21.6222356</v>
      </c>
      <c r="H1395" s="28">
        <v>79.047530199999997</v>
      </c>
      <c r="I1395" s="28">
        <v>62.5065867</v>
      </c>
      <c r="J1395" s="28">
        <v>997.530123</v>
      </c>
      <c r="K1395" s="28">
        <v>1004.11725</v>
      </c>
      <c r="L1395" s="42">
        <v>6.21442038</v>
      </c>
      <c r="M1395" s="28">
        <v>134.310348</v>
      </c>
      <c r="N1395" s="28">
        <v>1660.61645</v>
      </c>
      <c r="O1395" s="28">
        <v>1115.1210000000001</v>
      </c>
      <c r="P1395" s="28">
        <v>884.87900000000002</v>
      </c>
    </row>
    <row r="1396" spans="1:16" x14ac:dyDescent="0.25">
      <c r="A1396" s="41">
        <v>5</v>
      </c>
      <c r="B1396" s="41">
        <v>134</v>
      </c>
      <c r="C1396" s="28">
        <v>15.2178377</v>
      </c>
      <c r="D1396" s="28">
        <v>7.6965441300000004</v>
      </c>
      <c r="E1396" s="28">
        <v>31.2495361</v>
      </c>
      <c r="F1396" s="28">
        <v>26.155624799999998</v>
      </c>
      <c r="G1396" s="28">
        <v>21.788902400000001</v>
      </c>
      <c r="H1396" s="28">
        <v>78.835748300000006</v>
      </c>
      <c r="I1396" s="28">
        <v>62.027010799999999</v>
      </c>
      <c r="J1396" s="28">
        <v>994.70463299999994</v>
      </c>
      <c r="K1396" s="28">
        <v>1009.36221</v>
      </c>
      <c r="L1396" s="42">
        <v>6.1534230299999999</v>
      </c>
      <c r="M1396" s="28">
        <v>135.000981</v>
      </c>
      <c r="N1396" s="28">
        <v>1649.3526899999999</v>
      </c>
      <c r="O1396" s="28">
        <v>1104.1755800000001</v>
      </c>
      <c r="P1396" s="28">
        <v>895.82442000000003</v>
      </c>
    </row>
    <row r="1397" spans="1:16" x14ac:dyDescent="0.25">
      <c r="A1397" s="41">
        <v>5</v>
      </c>
      <c r="B1397" s="41">
        <v>135</v>
      </c>
      <c r="C1397" s="28">
        <v>15.359109500000001</v>
      </c>
      <c r="D1397" s="28">
        <v>7.76211407</v>
      </c>
      <c r="E1397" s="28">
        <v>31.557996800000002</v>
      </c>
      <c r="F1397" s="28">
        <v>26.711646399999999</v>
      </c>
      <c r="G1397" s="28">
        <v>22.321714799999999</v>
      </c>
      <c r="H1397" s="28">
        <v>80.0293676</v>
      </c>
      <c r="I1397" s="28">
        <v>63.472276600000001</v>
      </c>
      <c r="J1397" s="28">
        <v>995.62753999999995</v>
      </c>
      <c r="K1397" s="28">
        <v>1014.1539299999999</v>
      </c>
      <c r="L1397" s="42">
        <v>6.2725926100000002</v>
      </c>
      <c r="M1397" s="28">
        <v>136.794263</v>
      </c>
      <c r="N1397" s="28">
        <v>1641.8094599999999</v>
      </c>
      <c r="O1397" s="28">
        <v>1125.5594799999999</v>
      </c>
      <c r="P1397" s="28">
        <v>874.44051999999999</v>
      </c>
    </row>
    <row r="1398" spans="1:16" x14ac:dyDescent="0.25">
      <c r="A1398" s="41">
        <v>5</v>
      </c>
      <c r="B1398" s="41">
        <v>136</v>
      </c>
      <c r="C1398" s="28">
        <v>15.538954800000001</v>
      </c>
      <c r="D1398" s="28">
        <v>7.7460990499999998</v>
      </c>
      <c r="E1398" s="28">
        <v>31.466593599999999</v>
      </c>
      <c r="F1398" s="28">
        <v>26.614175899999999</v>
      </c>
      <c r="G1398" s="28">
        <v>22.614087600000001</v>
      </c>
      <c r="H1398" s="28">
        <v>79.510161400000001</v>
      </c>
      <c r="I1398" s="28">
        <v>62.838486199999998</v>
      </c>
      <c r="J1398" s="28">
        <v>994.34083099999998</v>
      </c>
      <c r="K1398" s="28">
        <v>1017.1316399999999</v>
      </c>
      <c r="L1398" s="42">
        <v>6.1710987599999996</v>
      </c>
      <c r="M1398" s="28">
        <v>136.537139</v>
      </c>
      <c r="N1398" s="28">
        <v>1643.7441799999999</v>
      </c>
      <c r="O1398" s="28">
        <v>1107.3473300000001</v>
      </c>
      <c r="P1398" s="28">
        <v>892.65266999999994</v>
      </c>
    </row>
    <row r="1399" spans="1:16" x14ac:dyDescent="0.25">
      <c r="A1399" s="41">
        <v>5</v>
      </c>
      <c r="B1399" s="41">
        <v>137</v>
      </c>
      <c r="C1399" s="28">
        <v>15.621212099999999</v>
      </c>
      <c r="D1399" s="28">
        <v>7.7163267600000003</v>
      </c>
      <c r="E1399" s="28">
        <v>31.545619599999998</v>
      </c>
      <c r="F1399" s="28">
        <v>26.697577500000001</v>
      </c>
      <c r="G1399" s="28">
        <v>23.0601609</v>
      </c>
      <c r="H1399" s="28">
        <v>78.262658700000003</v>
      </c>
      <c r="I1399" s="28">
        <v>63.430706800000003</v>
      </c>
      <c r="J1399" s="28">
        <v>996.40968899999996</v>
      </c>
      <c r="K1399" s="28">
        <v>1018.30251</v>
      </c>
      <c r="L1399" s="42">
        <v>6.0406218899999997</v>
      </c>
      <c r="M1399" s="28">
        <v>136.185598</v>
      </c>
      <c r="N1399" s="28">
        <v>1628.5927200000001</v>
      </c>
      <c r="O1399" s="28">
        <v>1083.93445</v>
      </c>
      <c r="P1399" s="28">
        <v>916.06555000000003</v>
      </c>
    </row>
    <row r="1400" spans="1:16" x14ac:dyDescent="0.25">
      <c r="A1400" s="41">
        <v>5</v>
      </c>
      <c r="B1400" s="41">
        <v>138</v>
      </c>
      <c r="C1400" s="28">
        <v>15.5815795</v>
      </c>
      <c r="D1400" s="28">
        <v>7.7329991099999997</v>
      </c>
      <c r="E1400" s="28">
        <v>31.601783000000001</v>
      </c>
      <c r="F1400" s="28">
        <v>26.755848100000001</v>
      </c>
      <c r="G1400" s="28">
        <v>23.0497397</v>
      </c>
      <c r="H1400" s="28">
        <v>77.625882000000004</v>
      </c>
      <c r="I1400" s="28">
        <v>62.1249161</v>
      </c>
      <c r="J1400" s="28">
        <v>994.62703399999998</v>
      </c>
      <c r="K1400" s="28">
        <v>1017.10963</v>
      </c>
      <c r="L1400" s="42">
        <v>6.0200633300000002</v>
      </c>
      <c r="M1400" s="28">
        <v>135.82137900000001</v>
      </c>
      <c r="N1400" s="28">
        <v>1610.6607200000001</v>
      </c>
      <c r="O1400" s="28">
        <v>1080.2454</v>
      </c>
      <c r="P1400" s="28">
        <v>919.75459999999998</v>
      </c>
    </row>
    <row r="1401" spans="1:16" x14ac:dyDescent="0.25">
      <c r="A1401" s="41">
        <v>5</v>
      </c>
      <c r="B1401" s="41">
        <v>139</v>
      </c>
      <c r="C1401" s="28">
        <v>15.538753099999999</v>
      </c>
      <c r="D1401" s="28">
        <v>7.6526580900000001</v>
      </c>
      <c r="E1401" s="28">
        <v>31.1161016</v>
      </c>
      <c r="F1401" s="28">
        <v>26.663591799999999</v>
      </c>
      <c r="G1401" s="28">
        <v>23.275342500000001</v>
      </c>
      <c r="H1401" s="28">
        <v>78.070199099999996</v>
      </c>
      <c r="I1401" s="28">
        <v>62.455151999999998</v>
      </c>
      <c r="J1401" s="28">
        <v>997.66811700000005</v>
      </c>
      <c r="K1401" s="28">
        <v>1016.9436899999999</v>
      </c>
      <c r="L1401" s="42">
        <v>6.0398750699999999</v>
      </c>
      <c r="M1401" s="28">
        <v>135.930476</v>
      </c>
      <c r="N1401" s="28">
        <v>1594.8244299999999</v>
      </c>
      <c r="O1401" s="28">
        <v>1083.80044</v>
      </c>
      <c r="P1401" s="28">
        <v>916.19956000000002</v>
      </c>
    </row>
    <row r="1402" spans="1:16" x14ac:dyDescent="0.25">
      <c r="A1402" s="41">
        <v>5</v>
      </c>
      <c r="B1402" s="41">
        <v>140</v>
      </c>
      <c r="C1402" s="28">
        <v>15.5102411</v>
      </c>
      <c r="D1402" s="28">
        <v>7.6407066600000002</v>
      </c>
      <c r="E1402" s="28">
        <v>30.984820599999999</v>
      </c>
      <c r="F1402" s="28">
        <v>27.1703425</v>
      </c>
      <c r="G1402" s="28">
        <v>23.405518799999999</v>
      </c>
      <c r="H1402" s="28">
        <v>79.242392100000004</v>
      </c>
      <c r="I1402" s="28">
        <v>62.2706315</v>
      </c>
      <c r="J1402" s="28">
        <v>996.20164299999999</v>
      </c>
      <c r="K1402" s="28">
        <v>1012.79296</v>
      </c>
      <c r="L1402" s="42">
        <v>6.03438535</v>
      </c>
      <c r="M1402" s="28">
        <v>136.50582499999999</v>
      </c>
      <c r="N1402" s="28">
        <v>1575.875</v>
      </c>
      <c r="O1402" s="28">
        <v>1082.8153600000001</v>
      </c>
      <c r="P1402" s="28">
        <v>917.18463999999994</v>
      </c>
    </row>
    <row r="1403" spans="1:16" x14ac:dyDescent="0.25">
      <c r="A1403" s="41">
        <v>5</v>
      </c>
      <c r="B1403" s="41">
        <v>141</v>
      </c>
      <c r="C1403" s="28">
        <v>15.6107215</v>
      </c>
      <c r="D1403" s="28">
        <v>7.5788770200000002</v>
      </c>
      <c r="E1403" s="28">
        <v>30.7555266</v>
      </c>
      <c r="F1403" s="28">
        <v>26.770993799999999</v>
      </c>
      <c r="G1403" s="28">
        <v>23.293746599999999</v>
      </c>
      <c r="H1403" s="28">
        <v>78.379391699999999</v>
      </c>
      <c r="I1403" s="28">
        <v>61.576603499999997</v>
      </c>
      <c r="J1403" s="28">
        <v>999.19112299999995</v>
      </c>
      <c r="K1403" s="28">
        <v>1006.73663</v>
      </c>
      <c r="L1403" s="42">
        <v>5.9982804600000001</v>
      </c>
      <c r="M1403" s="28">
        <v>135.886258</v>
      </c>
      <c r="N1403" s="28">
        <v>1535.5607199999999</v>
      </c>
      <c r="O1403" s="28">
        <v>1076.3366599999999</v>
      </c>
      <c r="P1403" s="28">
        <v>923.66333999999995</v>
      </c>
    </row>
    <row r="1404" spans="1:16" x14ac:dyDescent="0.25">
      <c r="A1404" s="41">
        <v>5</v>
      </c>
      <c r="B1404" s="41">
        <v>142</v>
      </c>
      <c r="C1404" s="28">
        <v>15.748415400000001</v>
      </c>
      <c r="D1404" s="28">
        <v>7.6046588399999999</v>
      </c>
      <c r="E1404" s="28">
        <v>30.791197199999999</v>
      </c>
      <c r="F1404" s="28">
        <v>26.831252800000001</v>
      </c>
      <c r="G1404" s="28">
        <v>23.192320800000001</v>
      </c>
      <c r="H1404" s="28">
        <v>78.724666999999997</v>
      </c>
      <c r="I1404" s="28">
        <v>62.511561700000001</v>
      </c>
      <c r="J1404" s="28">
        <v>997.30410700000004</v>
      </c>
      <c r="K1404" s="28">
        <v>1007.78568</v>
      </c>
      <c r="L1404" s="42">
        <v>5.9949357299999999</v>
      </c>
      <c r="M1404" s="28">
        <v>135.765342</v>
      </c>
      <c r="N1404" s="28">
        <v>1547.00866</v>
      </c>
      <c r="O1404" s="28">
        <v>1075.73648</v>
      </c>
      <c r="P1404" s="28">
        <v>924.26351999999997</v>
      </c>
    </row>
    <row r="1405" spans="1:16" x14ac:dyDescent="0.25">
      <c r="A1405" s="41">
        <v>5</v>
      </c>
      <c r="B1405" s="41">
        <v>143</v>
      </c>
      <c r="C1405" s="28">
        <v>15.613387700000001</v>
      </c>
      <c r="D1405" s="28">
        <v>7.5786540899999997</v>
      </c>
      <c r="E1405" s="28">
        <v>30.803804599999999</v>
      </c>
      <c r="F1405" s="28">
        <v>26.4253477</v>
      </c>
      <c r="G1405" s="28">
        <v>23.0808474</v>
      </c>
      <c r="H1405" s="28">
        <v>79.924789899999993</v>
      </c>
      <c r="I1405" s="28">
        <v>62.9647516</v>
      </c>
      <c r="J1405" s="28">
        <v>999.05377199999998</v>
      </c>
      <c r="K1405" s="28">
        <v>1009.3673199999999</v>
      </c>
      <c r="L1405" s="42">
        <v>5.9907556299999998</v>
      </c>
      <c r="M1405" s="28">
        <v>135.35508400000001</v>
      </c>
      <c r="N1405" s="28">
        <v>1572.08944</v>
      </c>
      <c r="O1405" s="28">
        <v>1074.9864</v>
      </c>
      <c r="P1405" s="28">
        <v>925.0136</v>
      </c>
    </row>
    <row r="1406" spans="1:16" x14ac:dyDescent="0.25">
      <c r="A1406" s="41">
        <v>5</v>
      </c>
      <c r="B1406" s="41">
        <v>144</v>
      </c>
      <c r="C1406" s="28">
        <v>15.4473807</v>
      </c>
      <c r="D1406" s="28">
        <v>7.5595982900000003</v>
      </c>
      <c r="E1406" s="28">
        <v>30.646331100000001</v>
      </c>
      <c r="F1406" s="28">
        <v>26.538430000000002</v>
      </c>
      <c r="G1406" s="28">
        <v>23.313748799999999</v>
      </c>
      <c r="H1406" s="28">
        <v>80.866190700000004</v>
      </c>
      <c r="I1406" s="28">
        <v>62.927241299999999</v>
      </c>
      <c r="J1406" s="28">
        <v>997.45410000000004</v>
      </c>
      <c r="K1406" s="28">
        <v>1006.41966</v>
      </c>
      <c r="L1406" s="42">
        <v>6.0763181499999996</v>
      </c>
      <c r="M1406" s="28">
        <v>135.382396</v>
      </c>
      <c r="N1406" s="28">
        <v>1561.0789400000001</v>
      </c>
      <c r="O1406" s="28">
        <v>1090.3398199999999</v>
      </c>
      <c r="P1406" s="28">
        <v>909.66017999999997</v>
      </c>
    </row>
    <row r="1407" spans="1:16" x14ac:dyDescent="0.25">
      <c r="A1407" s="41">
        <v>5</v>
      </c>
      <c r="B1407" s="41">
        <v>145</v>
      </c>
      <c r="C1407" s="28">
        <v>15.4142454</v>
      </c>
      <c r="D1407" s="28">
        <v>7.5405451499999998</v>
      </c>
      <c r="E1407" s="28">
        <v>30.478722600000001</v>
      </c>
      <c r="F1407" s="28">
        <v>26.881127599999999</v>
      </c>
      <c r="G1407" s="28">
        <v>23.332121399999998</v>
      </c>
      <c r="H1407" s="28">
        <v>80.931188300000002</v>
      </c>
      <c r="I1407" s="28">
        <v>62.786004400000003</v>
      </c>
      <c r="J1407" s="28">
        <v>999.75811999999996</v>
      </c>
      <c r="K1407" s="28">
        <v>999.59072700000002</v>
      </c>
      <c r="L1407" s="42">
        <v>6.0250355200000003</v>
      </c>
      <c r="M1407" s="28">
        <v>135.95387299999999</v>
      </c>
      <c r="N1407" s="28">
        <v>1571.34503</v>
      </c>
      <c r="O1407" s="28">
        <v>1081.13762</v>
      </c>
      <c r="P1407" s="28">
        <v>918.86238000000003</v>
      </c>
    </row>
    <row r="1408" spans="1:16" x14ac:dyDescent="0.25">
      <c r="A1408" s="41">
        <v>5</v>
      </c>
      <c r="B1408" s="41">
        <v>146</v>
      </c>
      <c r="C1408" s="28">
        <v>15.465959399999999</v>
      </c>
      <c r="D1408" s="28">
        <v>7.6285282299999997</v>
      </c>
      <c r="E1408" s="28">
        <v>30.868434300000001</v>
      </c>
      <c r="F1408" s="28">
        <v>27.120944600000001</v>
      </c>
      <c r="G1408" s="28">
        <v>23.5197486</v>
      </c>
      <c r="H1408" s="28">
        <v>81.221877300000003</v>
      </c>
      <c r="I1408" s="28">
        <v>63.396899900000001</v>
      </c>
      <c r="J1408" s="28">
        <v>996.77733899999998</v>
      </c>
      <c r="K1408" s="28">
        <v>1006.00687</v>
      </c>
      <c r="L1408" s="42">
        <v>6.0414480199999998</v>
      </c>
      <c r="M1408" s="28">
        <v>137.18787399999999</v>
      </c>
      <c r="N1408" s="28">
        <v>1548.67551</v>
      </c>
      <c r="O1408" s="28">
        <v>1084.08269</v>
      </c>
      <c r="P1408" s="28">
        <v>915.91731000000004</v>
      </c>
    </row>
    <row r="1409" spans="1:16" x14ac:dyDescent="0.25">
      <c r="A1409" s="41">
        <v>5</v>
      </c>
      <c r="B1409" s="41">
        <v>147</v>
      </c>
      <c r="C1409" s="28">
        <v>15.4429894</v>
      </c>
      <c r="D1409" s="28">
        <v>7.6133376300000002</v>
      </c>
      <c r="E1409" s="28">
        <v>31.104586099999999</v>
      </c>
      <c r="F1409" s="28">
        <v>27.007315200000001</v>
      </c>
      <c r="G1409" s="28">
        <v>23.084346499999999</v>
      </c>
      <c r="H1409" s="28">
        <v>81.041956200000001</v>
      </c>
      <c r="I1409" s="28">
        <v>63.275241399999999</v>
      </c>
      <c r="J1409" s="28">
        <v>998.42822999999999</v>
      </c>
      <c r="K1409" s="28">
        <v>1014.06807</v>
      </c>
      <c r="L1409" s="42">
        <v>6.1349951599999999</v>
      </c>
      <c r="M1409" s="28">
        <v>136.842028</v>
      </c>
      <c r="N1409" s="28">
        <v>1569.3498400000001</v>
      </c>
      <c r="O1409" s="28">
        <v>1100.86887</v>
      </c>
      <c r="P1409" s="28">
        <v>899.13112999999998</v>
      </c>
    </row>
    <row r="1410" spans="1:16" x14ac:dyDescent="0.25">
      <c r="A1410" s="41">
        <v>5</v>
      </c>
      <c r="B1410" s="41">
        <v>148</v>
      </c>
      <c r="C1410" s="28">
        <v>15.596574800000001</v>
      </c>
      <c r="D1410" s="28">
        <v>7.6055055100000004</v>
      </c>
      <c r="E1410" s="28">
        <v>31.269590699999998</v>
      </c>
      <c r="F1410" s="28">
        <v>27.099115099999999</v>
      </c>
      <c r="G1410" s="28">
        <v>23.2942322</v>
      </c>
      <c r="H1410" s="28">
        <v>82.720494799999997</v>
      </c>
      <c r="I1410" s="28">
        <v>63.3960151</v>
      </c>
      <c r="J1410" s="28">
        <v>996.62264400000004</v>
      </c>
      <c r="K1410" s="28">
        <v>1014.2939</v>
      </c>
      <c r="L1410" s="42">
        <v>6.12424649</v>
      </c>
      <c r="M1410" s="28">
        <v>138.21221700000001</v>
      </c>
      <c r="N1410" s="28">
        <v>1601.8159700000001</v>
      </c>
      <c r="O1410" s="28">
        <v>1098.94012</v>
      </c>
      <c r="P1410" s="28">
        <v>901.05988000000002</v>
      </c>
    </row>
    <row r="1411" spans="1:16" x14ac:dyDescent="0.25">
      <c r="A1411" s="41">
        <v>5</v>
      </c>
      <c r="B1411" s="41">
        <v>149</v>
      </c>
      <c r="C1411" s="28">
        <v>15.6358069</v>
      </c>
      <c r="D1411" s="28">
        <v>7.5768239199999998</v>
      </c>
      <c r="E1411" s="28">
        <v>31.435304299999999</v>
      </c>
      <c r="F1411" s="28">
        <v>27.060198400000001</v>
      </c>
      <c r="G1411" s="28">
        <v>23.449169300000001</v>
      </c>
      <c r="H1411" s="28">
        <v>82.352387399999998</v>
      </c>
      <c r="I1411" s="28">
        <v>64.487585199999998</v>
      </c>
      <c r="J1411" s="28">
        <v>998.223882</v>
      </c>
      <c r="K1411" s="28">
        <v>1016.9664</v>
      </c>
      <c r="L1411" s="42">
        <v>6.1376165900000004</v>
      </c>
      <c r="M1411" s="28">
        <v>138.391884</v>
      </c>
      <c r="N1411" s="28">
        <v>1574.8157200000001</v>
      </c>
      <c r="O1411" s="28">
        <v>1101.33926</v>
      </c>
      <c r="P1411" s="28">
        <v>898.66074000000003</v>
      </c>
    </row>
    <row r="1412" spans="1:16" x14ac:dyDescent="0.25">
      <c r="A1412" s="41">
        <v>5</v>
      </c>
      <c r="B1412" s="41">
        <v>150</v>
      </c>
      <c r="C1412" s="28">
        <v>15.5296346</v>
      </c>
      <c r="D1412" s="28">
        <v>7.6042845799999998</v>
      </c>
      <c r="E1412" s="28">
        <v>31.500458099999999</v>
      </c>
      <c r="F1412" s="28">
        <v>27.2191668</v>
      </c>
      <c r="G1412" s="28">
        <v>23.3712822</v>
      </c>
      <c r="H1412" s="28">
        <v>84.158723499999994</v>
      </c>
      <c r="I1412" s="28">
        <v>64.159306799999996</v>
      </c>
      <c r="J1412" s="28">
        <v>996.23246600000004</v>
      </c>
      <c r="K1412" s="28">
        <v>1013.75193</v>
      </c>
      <c r="L1412" s="42">
        <v>6.1023383999999998</v>
      </c>
      <c r="M1412" s="28">
        <v>139.047765</v>
      </c>
      <c r="N1412" s="28">
        <v>1549.72183</v>
      </c>
      <c r="O1412" s="28">
        <v>1095.00891</v>
      </c>
      <c r="P1412" s="28">
        <v>904.99108999999999</v>
      </c>
    </row>
    <row r="1413" spans="1:16" x14ac:dyDescent="0.25">
      <c r="A1413" s="41">
        <v>5</v>
      </c>
      <c r="B1413" s="41">
        <v>151</v>
      </c>
      <c r="C1413" s="28">
        <v>15.5637531</v>
      </c>
      <c r="D1413" s="28">
        <v>7.6125921600000002</v>
      </c>
      <c r="E1413" s="28">
        <v>31.819199300000001</v>
      </c>
      <c r="F1413" s="28">
        <v>27.211013600000001</v>
      </c>
      <c r="G1413" s="28">
        <v>23.626520500000002</v>
      </c>
      <c r="H1413" s="28">
        <v>84.545269000000005</v>
      </c>
      <c r="I1413" s="28">
        <v>64.5222543</v>
      </c>
      <c r="J1413" s="28">
        <v>997.28322200000002</v>
      </c>
      <c r="K1413" s="28">
        <v>1012.07496</v>
      </c>
      <c r="L1413" s="42">
        <v>6.0046768699999999</v>
      </c>
      <c r="M1413" s="28">
        <v>139.51650799999999</v>
      </c>
      <c r="N1413" s="28">
        <v>1543.03973</v>
      </c>
      <c r="O1413" s="28">
        <v>1077.4844399999999</v>
      </c>
      <c r="P1413" s="28">
        <v>922.51556000000005</v>
      </c>
    </row>
    <row r="1414" spans="1:16" x14ac:dyDescent="0.25">
      <c r="A1414" s="41">
        <v>5</v>
      </c>
      <c r="B1414" s="41">
        <v>152</v>
      </c>
      <c r="C1414" s="28">
        <v>15.5185242</v>
      </c>
      <c r="D1414" s="28">
        <v>7.5666570899999996</v>
      </c>
      <c r="E1414" s="28">
        <v>32.335967599999996</v>
      </c>
      <c r="F1414" s="28">
        <v>27.505365900000001</v>
      </c>
      <c r="G1414" s="28">
        <v>23.4009307</v>
      </c>
      <c r="H1414" s="28">
        <v>85.524458899999999</v>
      </c>
      <c r="I1414" s="28">
        <v>65.273536899999996</v>
      </c>
      <c r="J1414" s="28">
        <v>995.29236500000002</v>
      </c>
      <c r="K1414" s="28">
        <v>1009.16997</v>
      </c>
      <c r="L1414" s="42">
        <v>5.9525960500000004</v>
      </c>
      <c r="M1414" s="28">
        <v>139.859779</v>
      </c>
      <c r="N1414" s="28">
        <v>1553.41597</v>
      </c>
      <c r="O1414" s="28">
        <v>1068.1390100000001</v>
      </c>
      <c r="P1414" s="28">
        <v>931.86099000000002</v>
      </c>
    </row>
    <row r="1415" spans="1:16" x14ac:dyDescent="0.25">
      <c r="A1415" s="41">
        <v>5</v>
      </c>
      <c r="B1415" s="41">
        <v>153</v>
      </c>
      <c r="C1415" s="28">
        <v>15.5098615</v>
      </c>
      <c r="D1415" s="28">
        <v>7.6433090999999997</v>
      </c>
      <c r="E1415" s="28">
        <v>32.333390600000001</v>
      </c>
      <c r="F1415" s="28">
        <v>27.381415499999999</v>
      </c>
      <c r="G1415" s="28">
        <v>23.409347400000001</v>
      </c>
      <c r="H1415" s="28">
        <v>84.916778699999995</v>
      </c>
      <c r="I1415" s="28">
        <v>63.8591154</v>
      </c>
      <c r="J1415" s="28">
        <v>996.52161999999998</v>
      </c>
      <c r="K1415" s="28">
        <v>1011.34415</v>
      </c>
      <c r="L1415" s="42">
        <v>5.8923110599999999</v>
      </c>
      <c r="M1415" s="28">
        <v>139.293138</v>
      </c>
      <c r="N1415" s="28">
        <v>1558.6738600000001</v>
      </c>
      <c r="O1415" s="28">
        <v>1057.32142</v>
      </c>
      <c r="P1415" s="28">
        <v>942.67858000000001</v>
      </c>
    </row>
    <row r="1416" spans="1:16" x14ac:dyDescent="0.25">
      <c r="A1416" s="41">
        <v>5</v>
      </c>
      <c r="B1416" s="41">
        <v>154</v>
      </c>
      <c r="C1416" s="28">
        <v>15.360138299999999</v>
      </c>
      <c r="D1416" s="28">
        <v>7.5935235299999997</v>
      </c>
      <c r="E1416" s="28">
        <v>32.403894200000003</v>
      </c>
      <c r="F1416" s="28">
        <v>27.340214700000001</v>
      </c>
      <c r="G1416" s="28">
        <v>23.273007199999999</v>
      </c>
      <c r="H1416" s="28">
        <v>85.622720900000004</v>
      </c>
      <c r="I1416" s="28">
        <v>62.690671799999997</v>
      </c>
      <c r="J1416" s="28">
        <v>995.28958599999999</v>
      </c>
      <c r="K1416" s="28">
        <v>1012.06849</v>
      </c>
      <c r="L1416" s="42">
        <v>6.1106956600000002</v>
      </c>
      <c r="M1416" s="28">
        <v>138.12700599999999</v>
      </c>
      <c r="N1416" s="28">
        <v>1615.96722</v>
      </c>
      <c r="O1416" s="28">
        <v>1096.50855</v>
      </c>
      <c r="P1416" s="28">
        <v>903.49144999999999</v>
      </c>
    </row>
    <row r="1417" spans="1:16" x14ac:dyDescent="0.25">
      <c r="A1417" s="41">
        <v>5</v>
      </c>
      <c r="B1417" s="41">
        <v>155</v>
      </c>
      <c r="C1417" s="28">
        <v>15.2309473</v>
      </c>
      <c r="D1417" s="28">
        <v>7.5950110300000002</v>
      </c>
      <c r="E1417" s="28">
        <v>32.056828299999999</v>
      </c>
      <c r="F1417" s="28">
        <v>27.0409899</v>
      </c>
      <c r="G1417" s="28">
        <v>23.3380394</v>
      </c>
      <c r="H1417" s="28">
        <v>85.410783600000002</v>
      </c>
      <c r="I1417" s="28">
        <v>61.3125584</v>
      </c>
      <c r="J1417" s="28">
        <v>997.348975</v>
      </c>
      <c r="K1417" s="28">
        <v>1011.95243</v>
      </c>
      <c r="L1417" s="42">
        <v>6.1327281500000002</v>
      </c>
      <c r="M1417" s="28">
        <v>137.21907999999999</v>
      </c>
      <c r="N1417" s="28">
        <v>1628.92461</v>
      </c>
      <c r="O1417" s="28">
        <v>1100.46208</v>
      </c>
      <c r="P1417" s="28">
        <v>899.53791999999999</v>
      </c>
    </row>
    <row r="1418" spans="1:16" x14ac:dyDescent="0.25">
      <c r="A1418" s="41">
        <v>5</v>
      </c>
      <c r="B1418" s="41">
        <v>156</v>
      </c>
      <c r="C1418" s="28">
        <v>15.0575373</v>
      </c>
      <c r="D1418" s="28">
        <v>7.6137654000000001</v>
      </c>
      <c r="E1418" s="28">
        <v>31.596617899999998</v>
      </c>
      <c r="F1418" s="28">
        <v>26.9185184</v>
      </c>
      <c r="G1418" s="28">
        <v>23.121825399999999</v>
      </c>
      <c r="H1418" s="28">
        <v>85.396567599999997</v>
      </c>
      <c r="I1418" s="28">
        <v>60.995277100000003</v>
      </c>
      <c r="J1418" s="28">
        <v>996.38825299999996</v>
      </c>
      <c r="K1418" s="28">
        <v>1010.89394</v>
      </c>
      <c r="L1418" s="42">
        <v>6.1622748200000004</v>
      </c>
      <c r="M1418" s="28">
        <v>136.094604</v>
      </c>
      <c r="N1418" s="28">
        <v>1611.1587400000001</v>
      </c>
      <c r="O1418" s="28">
        <v>1105.76395</v>
      </c>
      <c r="P1418" s="28">
        <v>894.23604999999998</v>
      </c>
    </row>
    <row r="1419" spans="1:16" x14ac:dyDescent="0.25">
      <c r="A1419" s="41">
        <v>5</v>
      </c>
      <c r="B1419" s="41">
        <v>157</v>
      </c>
      <c r="C1419" s="28">
        <v>14.9832559</v>
      </c>
      <c r="D1419" s="28">
        <v>7.6247531500000001</v>
      </c>
      <c r="E1419" s="28">
        <v>31.6499402</v>
      </c>
      <c r="F1419" s="28">
        <v>26.944531900000001</v>
      </c>
      <c r="G1419" s="28">
        <v>22.881271699999999</v>
      </c>
      <c r="H1419" s="28">
        <v>85.715378099999995</v>
      </c>
      <c r="I1419" s="28">
        <v>60.053187999999999</v>
      </c>
      <c r="J1419" s="28">
        <v>997.91116499999998</v>
      </c>
      <c r="K1419" s="28">
        <v>1006.67035</v>
      </c>
      <c r="L1419" s="42">
        <v>6.1640859600000004</v>
      </c>
      <c r="M1419" s="28">
        <v>135.19233700000001</v>
      </c>
      <c r="N1419" s="28">
        <v>1627.6045300000001</v>
      </c>
      <c r="O1419" s="28">
        <v>1106.0889500000001</v>
      </c>
      <c r="P1419" s="28">
        <v>893.91105000000005</v>
      </c>
    </row>
    <row r="1420" spans="1:16" x14ac:dyDescent="0.25">
      <c r="A1420" s="41">
        <v>5</v>
      </c>
      <c r="B1420" s="41">
        <v>158</v>
      </c>
      <c r="C1420" s="28">
        <v>14.9700577</v>
      </c>
      <c r="D1420" s="28">
        <v>7.5865586399999998</v>
      </c>
      <c r="E1420" s="28">
        <v>31.295007900000002</v>
      </c>
      <c r="F1420" s="28">
        <v>26.931911100000001</v>
      </c>
      <c r="G1420" s="28">
        <v>23.090260499999999</v>
      </c>
      <c r="H1420" s="28">
        <v>85.913914000000005</v>
      </c>
      <c r="I1420" s="28">
        <v>59.7855153</v>
      </c>
      <c r="J1420" s="28">
        <v>997.34451000000001</v>
      </c>
      <c r="K1420" s="28">
        <v>1004.10853</v>
      </c>
      <c r="L1420" s="42">
        <v>6.2808310599999997</v>
      </c>
      <c r="M1420" s="28">
        <v>135.43048899999999</v>
      </c>
      <c r="N1420" s="28">
        <v>1677.6259600000001</v>
      </c>
      <c r="O1420" s="28">
        <v>1127.0377900000001</v>
      </c>
      <c r="P1420" s="28">
        <v>872.96221000000003</v>
      </c>
    </row>
    <row r="1421" spans="1:16" x14ac:dyDescent="0.25">
      <c r="A1421" s="41">
        <v>5</v>
      </c>
      <c r="B1421" s="41">
        <v>159</v>
      </c>
      <c r="C1421" s="28">
        <v>15.0045471</v>
      </c>
      <c r="D1421" s="28">
        <v>7.6617106000000001</v>
      </c>
      <c r="E1421" s="28">
        <v>30.872459800000001</v>
      </c>
      <c r="F1421" s="28">
        <v>26.665515599999999</v>
      </c>
      <c r="G1421" s="28">
        <v>23.136822899999999</v>
      </c>
      <c r="H1421" s="28">
        <v>85.075558200000003</v>
      </c>
      <c r="I1421" s="28">
        <v>60.344424400000001</v>
      </c>
      <c r="J1421" s="28">
        <v>998.90642100000002</v>
      </c>
      <c r="K1421" s="28">
        <v>1001.8599400000001</v>
      </c>
      <c r="L1421" s="42">
        <v>6.1994938800000003</v>
      </c>
      <c r="M1421" s="28">
        <v>135.21838500000001</v>
      </c>
      <c r="N1421" s="28">
        <v>1637.57698</v>
      </c>
      <c r="O1421" s="28">
        <v>1112.4425799999999</v>
      </c>
      <c r="P1421" s="28">
        <v>887.55741999999998</v>
      </c>
    </row>
    <row r="1422" spans="1:16" x14ac:dyDescent="0.25">
      <c r="A1422" s="41">
        <v>5</v>
      </c>
      <c r="B1422" s="41">
        <v>160</v>
      </c>
      <c r="C1422" s="28">
        <v>15.1166564</v>
      </c>
      <c r="D1422" s="28">
        <v>7.6740397700000003</v>
      </c>
      <c r="E1422" s="28">
        <v>31.0893795</v>
      </c>
      <c r="F1422" s="28">
        <v>26.209379599999998</v>
      </c>
      <c r="G1422" s="28">
        <v>22.658842199999999</v>
      </c>
      <c r="H1422" s="28">
        <v>85.115365199999999</v>
      </c>
      <c r="I1422" s="28">
        <v>60.186687499999998</v>
      </c>
      <c r="J1422" s="28">
        <v>997.40313600000002</v>
      </c>
      <c r="K1422" s="28">
        <v>998.83654899999999</v>
      </c>
      <c r="L1422" s="42">
        <v>6.2868528000000001</v>
      </c>
      <c r="M1422" s="28">
        <v>135.407488</v>
      </c>
      <c r="N1422" s="28">
        <v>1647.47561</v>
      </c>
      <c r="O1422" s="28">
        <v>1128.11834</v>
      </c>
      <c r="P1422" s="28">
        <v>871.88166000000001</v>
      </c>
    </row>
    <row r="1423" spans="1:16" x14ac:dyDescent="0.25">
      <c r="A1423" s="41">
        <v>5</v>
      </c>
      <c r="B1423" s="41">
        <v>161</v>
      </c>
      <c r="C1423" s="28">
        <v>15.0475964</v>
      </c>
      <c r="D1423" s="28">
        <v>7.7314594899999998</v>
      </c>
      <c r="E1423" s="28">
        <v>31.228207099999999</v>
      </c>
      <c r="F1423" s="28">
        <v>26.142870899999998</v>
      </c>
      <c r="G1423" s="28">
        <v>22.710596200000001</v>
      </c>
      <c r="H1423" s="28">
        <v>85.111048999999994</v>
      </c>
      <c r="I1423" s="28">
        <v>60.922012700000003</v>
      </c>
      <c r="J1423" s="28">
        <v>997.95715499999994</v>
      </c>
      <c r="K1423" s="28">
        <v>998.26257999999996</v>
      </c>
      <c r="L1423" s="42">
        <v>6.2933226500000004</v>
      </c>
      <c r="M1423" s="28">
        <v>136.040685</v>
      </c>
      <c r="N1423" s="28">
        <v>1663.4546600000001</v>
      </c>
      <c r="O1423" s="28">
        <v>1129.2792899999999</v>
      </c>
      <c r="P1423" s="28">
        <v>870.72071000000005</v>
      </c>
    </row>
    <row r="1424" spans="1:16" x14ac:dyDescent="0.25">
      <c r="A1424" s="41">
        <v>5</v>
      </c>
      <c r="B1424" s="41">
        <v>162</v>
      </c>
      <c r="C1424" s="28">
        <v>15.1562024</v>
      </c>
      <c r="D1424" s="28">
        <v>7.7892732899999997</v>
      </c>
      <c r="E1424" s="28">
        <v>31.322779799999999</v>
      </c>
      <c r="F1424" s="28">
        <v>25.720890700000002</v>
      </c>
      <c r="G1424" s="28">
        <v>22.324150100000001</v>
      </c>
      <c r="H1424" s="28">
        <v>85.061702499999996</v>
      </c>
      <c r="I1424" s="28">
        <v>61.548772800000002</v>
      </c>
      <c r="J1424" s="28">
        <v>996.18614700000001</v>
      </c>
      <c r="K1424" s="28">
        <v>992.17608800000005</v>
      </c>
      <c r="L1424" s="42">
        <v>6.4502563000000004</v>
      </c>
      <c r="M1424" s="28">
        <v>136.451156</v>
      </c>
      <c r="N1424" s="28">
        <v>1661.07653</v>
      </c>
      <c r="O1424" s="28">
        <v>1157.4395999999999</v>
      </c>
      <c r="P1424" s="28">
        <v>842.56039999999996</v>
      </c>
    </row>
    <row r="1425" spans="1:16" x14ac:dyDescent="0.25">
      <c r="A1425" s="41">
        <v>5</v>
      </c>
      <c r="B1425" s="41">
        <v>163</v>
      </c>
      <c r="C1425" s="28">
        <v>15.2262585</v>
      </c>
      <c r="D1425" s="28">
        <v>7.7502924899999996</v>
      </c>
      <c r="E1425" s="28">
        <v>31.292096699999998</v>
      </c>
      <c r="F1425" s="28">
        <v>25.683474499999999</v>
      </c>
      <c r="G1425" s="28">
        <v>22.349055199999999</v>
      </c>
      <c r="H1425" s="28">
        <v>84.100234799999996</v>
      </c>
      <c r="I1425" s="28">
        <v>60.980430800000001</v>
      </c>
      <c r="J1425" s="28">
        <v>998.16230700000006</v>
      </c>
      <c r="K1425" s="28">
        <v>992.716272</v>
      </c>
      <c r="L1425" s="42">
        <v>6.3962621000000004</v>
      </c>
      <c r="M1425" s="28">
        <v>135.938953</v>
      </c>
      <c r="N1425" s="28">
        <v>1632.6314299999999</v>
      </c>
      <c r="O1425" s="28">
        <v>1147.7508399999999</v>
      </c>
      <c r="P1425" s="28">
        <v>852.24915999999996</v>
      </c>
    </row>
    <row r="1426" spans="1:16" x14ac:dyDescent="0.25">
      <c r="A1426" s="41">
        <v>5</v>
      </c>
      <c r="B1426" s="41">
        <v>164</v>
      </c>
      <c r="C1426" s="28">
        <v>15.1615521</v>
      </c>
      <c r="D1426" s="28">
        <v>7.7295791600000001</v>
      </c>
      <c r="E1426" s="28">
        <v>31.2828312</v>
      </c>
      <c r="F1426" s="28">
        <v>25.207522300000001</v>
      </c>
      <c r="G1426" s="28">
        <v>22.335731899999999</v>
      </c>
      <c r="H1426" s="28">
        <v>84.355349500000003</v>
      </c>
      <c r="I1426" s="28">
        <v>60.7896298</v>
      </c>
      <c r="J1426" s="28">
        <v>996.89645199999995</v>
      </c>
      <c r="K1426" s="28">
        <v>988.09308499999997</v>
      </c>
      <c r="L1426" s="42">
        <v>6.3649240499999999</v>
      </c>
      <c r="M1426" s="28">
        <v>134.87291099999999</v>
      </c>
      <c r="N1426" s="28">
        <v>1681.9301399999999</v>
      </c>
      <c r="O1426" s="28">
        <v>1142.12751</v>
      </c>
      <c r="P1426" s="28">
        <v>857.87248999999997</v>
      </c>
    </row>
    <row r="1427" spans="1:16" x14ac:dyDescent="0.25">
      <c r="A1427" s="41">
        <v>5</v>
      </c>
      <c r="B1427" s="41">
        <v>165</v>
      </c>
      <c r="C1427" s="28">
        <v>15.2343698</v>
      </c>
      <c r="D1427" s="28">
        <v>7.74852835</v>
      </c>
      <c r="E1427" s="28">
        <v>31.157058500000002</v>
      </c>
      <c r="F1427" s="28">
        <v>25.1825391</v>
      </c>
      <c r="G1427" s="28">
        <v>22.2630014</v>
      </c>
      <c r="H1427" s="28">
        <v>86.037087999999997</v>
      </c>
      <c r="I1427" s="28">
        <v>60.457709600000001</v>
      </c>
      <c r="J1427" s="28">
        <v>998.39450599999998</v>
      </c>
      <c r="K1427" s="28">
        <v>983.40921100000003</v>
      </c>
      <c r="L1427" s="42">
        <v>6.4369523300000004</v>
      </c>
      <c r="M1427" s="28">
        <v>135.246669</v>
      </c>
      <c r="N1427" s="28">
        <v>1714.9114999999999</v>
      </c>
      <c r="O1427" s="28">
        <v>1155.05233</v>
      </c>
      <c r="P1427" s="28">
        <v>844.94767000000002</v>
      </c>
    </row>
    <row r="1428" spans="1:16" x14ac:dyDescent="0.25">
      <c r="A1428" s="41">
        <v>5</v>
      </c>
      <c r="B1428" s="41">
        <v>166</v>
      </c>
      <c r="C1428" s="28">
        <v>15.119097999999999</v>
      </c>
      <c r="D1428" s="28">
        <v>7.7894898000000001</v>
      </c>
      <c r="E1428" s="28">
        <v>30.996723299999999</v>
      </c>
      <c r="F1428" s="28">
        <v>25.088381399999999</v>
      </c>
      <c r="G1428" s="28">
        <v>22.073804800000001</v>
      </c>
      <c r="H1428" s="28">
        <v>85.7435787</v>
      </c>
      <c r="I1428" s="28">
        <v>60.715437100000003</v>
      </c>
      <c r="J1428" s="28">
        <v>996.96771699999999</v>
      </c>
      <c r="K1428" s="28">
        <v>977.71149200000002</v>
      </c>
      <c r="L1428" s="42">
        <v>6.4757482800000004</v>
      </c>
      <c r="M1428" s="28">
        <v>134.407712</v>
      </c>
      <c r="N1428" s="28">
        <v>1700.6953000000001</v>
      </c>
      <c r="O1428" s="28">
        <v>1162.0139099999999</v>
      </c>
      <c r="P1428" s="28">
        <v>837.98608999999999</v>
      </c>
    </row>
    <row r="1429" spans="1:16" x14ac:dyDescent="0.25">
      <c r="A1429" s="41">
        <v>5</v>
      </c>
      <c r="B1429" s="41">
        <v>167</v>
      </c>
      <c r="C1429" s="28">
        <v>15.0552163</v>
      </c>
      <c r="D1429" s="28">
        <v>7.7477867500000004</v>
      </c>
      <c r="E1429" s="28">
        <v>31.542055099999999</v>
      </c>
      <c r="F1429" s="28">
        <v>25.352267999999999</v>
      </c>
      <c r="G1429" s="28">
        <v>22.3992285</v>
      </c>
      <c r="H1429" s="28">
        <v>85.597048799999996</v>
      </c>
      <c r="I1429" s="28">
        <v>62.673148099999999</v>
      </c>
      <c r="J1429" s="28">
        <v>997.450738</v>
      </c>
      <c r="K1429" s="28">
        <v>980.97783500000003</v>
      </c>
      <c r="L1429" s="42">
        <v>6.4259032100000004</v>
      </c>
      <c r="M1429" s="28">
        <v>134.91327100000001</v>
      </c>
      <c r="N1429" s="28">
        <v>1705.8169</v>
      </c>
      <c r="O1429" s="28">
        <v>1153.0696600000001</v>
      </c>
      <c r="P1429" s="28">
        <v>846.93034</v>
      </c>
    </row>
    <row r="1430" spans="1:16" x14ac:dyDescent="0.25">
      <c r="A1430" s="41">
        <v>5</v>
      </c>
      <c r="B1430" s="41">
        <v>168</v>
      </c>
      <c r="C1430" s="28">
        <v>14.9001482</v>
      </c>
      <c r="D1430" s="28">
        <v>7.7019095699999998</v>
      </c>
      <c r="E1430" s="28">
        <v>31.549378900000001</v>
      </c>
      <c r="F1430" s="28">
        <v>25.559531199999999</v>
      </c>
      <c r="G1430" s="28">
        <v>22.304921400000001</v>
      </c>
      <c r="H1430" s="28">
        <v>84.654382299999995</v>
      </c>
      <c r="I1430" s="28">
        <v>62.640923999999998</v>
      </c>
      <c r="J1430" s="28">
        <v>996.50974199999996</v>
      </c>
      <c r="K1430" s="28">
        <v>981.49794699999995</v>
      </c>
      <c r="L1430" s="42">
        <v>6.4081796799999999</v>
      </c>
      <c r="M1430" s="28">
        <v>134.623796</v>
      </c>
      <c r="N1430" s="28">
        <v>1673.92913</v>
      </c>
      <c r="O1430" s="28">
        <v>1149.8893399999999</v>
      </c>
      <c r="P1430" s="28">
        <v>850.11066000000005</v>
      </c>
    </row>
    <row r="1431" spans="1:16" x14ac:dyDescent="0.25">
      <c r="A1431" s="41">
        <v>5</v>
      </c>
      <c r="B1431" s="41">
        <v>169</v>
      </c>
      <c r="C1431" s="28">
        <v>14.833351800000001</v>
      </c>
      <c r="D1431" s="28">
        <v>7.5613584899999999</v>
      </c>
      <c r="E1431" s="28">
        <v>31.349535800000002</v>
      </c>
      <c r="F1431" s="28">
        <v>25.538596900000002</v>
      </c>
      <c r="G1431" s="28">
        <v>22.029643499999999</v>
      </c>
      <c r="H1431" s="28">
        <v>83.070347999999996</v>
      </c>
      <c r="I1431" s="28">
        <v>62.877856199999997</v>
      </c>
      <c r="J1431" s="28">
        <v>999.28827799999999</v>
      </c>
      <c r="K1431" s="28">
        <v>986.31861500000002</v>
      </c>
      <c r="L1431" s="42">
        <v>6.4374536400000002</v>
      </c>
      <c r="M1431" s="28">
        <v>133.52376100000001</v>
      </c>
      <c r="N1431" s="28">
        <v>1667.54754</v>
      </c>
      <c r="O1431" s="28">
        <v>1155.14228</v>
      </c>
      <c r="P1431" s="28">
        <v>844.85771999999997</v>
      </c>
    </row>
    <row r="1432" spans="1:16" x14ac:dyDescent="0.25">
      <c r="A1432" s="41">
        <v>5</v>
      </c>
      <c r="B1432" s="41">
        <v>170</v>
      </c>
      <c r="C1432" s="28">
        <v>15.016342</v>
      </c>
      <c r="D1432" s="28">
        <v>7.6558910500000001</v>
      </c>
      <c r="E1432" s="28">
        <v>31.552724900000001</v>
      </c>
      <c r="F1432" s="28">
        <v>25.790356200000002</v>
      </c>
      <c r="G1432" s="28">
        <v>21.946322500000001</v>
      </c>
      <c r="H1432" s="28">
        <v>84.266158599999997</v>
      </c>
      <c r="I1432" s="28">
        <v>63.324257299999999</v>
      </c>
      <c r="J1432" s="28">
        <v>997.33959800000002</v>
      </c>
      <c r="K1432" s="28">
        <v>989.35561099999995</v>
      </c>
      <c r="L1432" s="42">
        <v>6.3815551099999999</v>
      </c>
      <c r="M1432" s="28">
        <v>134.349289</v>
      </c>
      <c r="N1432" s="28">
        <v>1655.8296</v>
      </c>
      <c r="O1432" s="28">
        <v>1145.1117999999999</v>
      </c>
      <c r="P1432" s="28">
        <v>854.88819999999998</v>
      </c>
    </row>
    <row r="1433" spans="1:16" x14ac:dyDescent="0.25">
      <c r="A1433" s="41">
        <v>5</v>
      </c>
      <c r="B1433" s="41">
        <v>171</v>
      </c>
      <c r="C1433" s="28">
        <v>14.971389800000001</v>
      </c>
      <c r="D1433" s="28">
        <v>7.7352945000000002</v>
      </c>
      <c r="E1433" s="28">
        <v>31.568542099999998</v>
      </c>
      <c r="F1433" s="28">
        <v>25.913436799999999</v>
      </c>
      <c r="G1433" s="28">
        <v>22.033520500000002</v>
      </c>
      <c r="H1433" s="28">
        <v>85.696784800000003</v>
      </c>
      <c r="I1433" s="28">
        <v>63.809243899999998</v>
      </c>
      <c r="J1433" s="28">
        <v>997.80409399999996</v>
      </c>
      <c r="K1433" s="28">
        <v>992.03919599999995</v>
      </c>
      <c r="L1433" s="42">
        <v>6.3481556899999996</v>
      </c>
      <c r="M1433" s="28">
        <v>135.019914</v>
      </c>
      <c r="N1433" s="28">
        <v>1631.44047</v>
      </c>
      <c r="O1433" s="28">
        <v>1139.1185800000001</v>
      </c>
      <c r="P1433" s="28">
        <v>860.88142000000005</v>
      </c>
    </row>
    <row r="1434" spans="1:16" x14ac:dyDescent="0.25">
      <c r="A1434" s="41">
        <v>5</v>
      </c>
      <c r="B1434" s="41">
        <v>172</v>
      </c>
      <c r="C1434" s="28">
        <v>14.925819000000001</v>
      </c>
      <c r="D1434" s="28">
        <v>7.7641446399999996</v>
      </c>
      <c r="E1434" s="28">
        <v>31.3618852</v>
      </c>
      <c r="F1434" s="28">
        <v>26.173928100000001</v>
      </c>
      <c r="G1434" s="28">
        <v>21.875672300000002</v>
      </c>
      <c r="H1434" s="28">
        <v>84.465594499999995</v>
      </c>
      <c r="I1434" s="28">
        <v>64.233448999999993</v>
      </c>
      <c r="J1434" s="28">
        <v>996.864735</v>
      </c>
      <c r="K1434" s="28">
        <v>986.27209700000003</v>
      </c>
      <c r="L1434" s="42">
        <v>6.3521447100000001</v>
      </c>
      <c r="M1434" s="28">
        <v>135.18950699999999</v>
      </c>
      <c r="N1434" s="28">
        <v>1607.7191499999999</v>
      </c>
      <c r="O1434" s="28">
        <v>1139.83437</v>
      </c>
      <c r="P1434" s="28">
        <v>860.16562999999996</v>
      </c>
    </row>
    <row r="1435" spans="1:16" x14ac:dyDescent="0.25">
      <c r="A1435" s="41">
        <v>5</v>
      </c>
      <c r="B1435" s="41">
        <v>173</v>
      </c>
      <c r="C1435" s="28">
        <v>14.873317</v>
      </c>
      <c r="D1435" s="28">
        <v>7.6935965700000004</v>
      </c>
      <c r="E1435" s="28">
        <v>31.6641245</v>
      </c>
      <c r="F1435" s="28">
        <v>26.240486799999999</v>
      </c>
      <c r="G1435" s="28">
        <v>21.3606531</v>
      </c>
      <c r="H1435" s="28">
        <v>84.021754299999998</v>
      </c>
      <c r="I1435" s="28">
        <v>63.989802099999999</v>
      </c>
      <c r="J1435" s="28">
        <v>998.44987200000003</v>
      </c>
      <c r="K1435" s="28">
        <v>984.44825100000003</v>
      </c>
      <c r="L1435" s="42">
        <v>6.2835167600000004</v>
      </c>
      <c r="M1435" s="28">
        <v>134.35053199999999</v>
      </c>
      <c r="N1435" s="28">
        <v>1588.4231400000001</v>
      </c>
      <c r="O1435" s="28">
        <v>1127.51972</v>
      </c>
      <c r="P1435" s="28">
        <v>872.48027999999999</v>
      </c>
    </row>
    <row r="1436" spans="1:16" x14ac:dyDescent="0.25">
      <c r="A1436" s="41">
        <v>5</v>
      </c>
      <c r="B1436" s="41">
        <v>174</v>
      </c>
      <c r="C1436" s="28">
        <v>15.155158200000001</v>
      </c>
      <c r="D1436" s="28">
        <v>7.7638326800000002</v>
      </c>
      <c r="E1436" s="28">
        <v>31.504552100000002</v>
      </c>
      <c r="F1436" s="28">
        <v>26.359327400000002</v>
      </c>
      <c r="G1436" s="28">
        <v>21.443396799999999</v>
      </c>
      <c r="H1436" s="28">
        <v>85.703509999999994</v>
      </c>
      <c r="I1436" s="28">
        <v>64.756143699999996</v>
      </c>
      <c r="J1436" s="28">
        <v>997.26289799999995</v>
      </c>
      <c r="K1436" s="28">
        <v>985.81262800000002</v>
      </c>
      <c r="L1436" s="42">
        <v>6.2834523899999999</v>
      </c>
      <c r="M1436" s="28">
        <v>135.664884</v>
      </c>
      <c r="N1436" s="28">
        <v>1619.1987099999999</v>
      </c>
      <c r="O1436" s="28">
        <v>1127.5081600000001</v>
      </c>
      <c r="P1436" s="28">
        <v>872.49184000000002</v>
      </c>
    </row>
    <row r="1437" spans="1:16" x14ac:dyDescent="0.25">
      <c r="A1437" s="41">
        <v>5</v>
      </c>
      <c r="B1437" s="41">
        <v>175</v>
      </c>
      <c r="C1437" s="28">
        <v>15.117281999999999</v>
      </c>
      <c r="D1437" s="28">
        <v>7.81658805</v>
      </c>
      <c r="E1437" s="28">
        <v>31.5723412</v>
      </c>
      <c r="F1437" s="28">
        <v>26.491175200000001</v>
      </c>
      <c r="G1437" s="28">
        <v>21.616706199999999</v>
      </c>
      <c r="H1437" s="28">
        <v>85.581993499999996</v>
      </c>
      <c r="I1437" s="28">
        <v>64.976123900000005</v>
      </c>
      <c r="J1437" s="28">
        <v>997.93051700000001</v>
      </c>
      <c r="K1437" s="28">
        <v>985.56647699999996</v>
      </c>
      <c r="L1437" s="42">
        <v>6.2651708800000003</v>
      </c>
      <c r="M1437" s="28">
        <v>136.19674699999999</v>
      </c>
      <c r="N1437" s="28">
        <v>1656.60681</v>
      </c>
      <c r="O1437" s="28">
        <v>1124.2277099999999</v>
      </c>
      <c r="P1437" s="28">
        <v>875.77229</v>
      </c>
    </row>
    <row r="1438" spans="1:16" x14ac:dyDescent="0.25">
      <c r="A1438" s="41">
        <v>5</v>
      </c>
      <c r="B1438" s="41">
        <v>176</v>
      </c>
      <c r="C1438" s="28">
        <v>15.212022899999999</v>
      </c>
      <c r="D1438" s="28">
        <v>7.8139124200000003</v>
      </c>
      <c r="E1438" s="28">
        <v>31.780605000000001</v>
      </c>
      <c r="F1438" s="28">
        <v>26.439614200000001</v>
      </c>
      <c r="G1438" s="28">
        <v>21.638196199999999</v>
      </c>
      <c r="H1438" s="28">
        <v>86.739670099999998</v>
      </c>
      <c r="I1438" s="28">
        <v>66.1019632</v>
      </c>
      <c r="J1438" s="28">
        <v>996.50523299999998</v>
      </c>
      <c r="K1438" s="28">
        <v>982.85813099999996</v>
      </c>
      <c r="L1438" s="42">
        <v>6.1136967200000001</v>
      </c>
      <c r="M1438" s="28">
        <v>136.70804899999999</v>
      </c>
      <c r="N1438" s="28">
        <v>1635.11618</v>
      </c>
      <c r="O1438" s="28">
        <v>1097.0470600000001</v>
      </c>
      <c r="P1438" s="28">
        <v>902.95294000000001</v>
      </c>
    </row>
    <row r="1439" spans="1:16" x14ac:dyDescent="0.25">
      <c r="A1439" s="41">
        <v>5</v>
      </c>
      <c r="B1439" s="41">
        <v>177</v>
      </c>
      <c r="C1439" s="28">
        <v>15.1590516</v>
      </c>
      <c r="D1439" s="28">
        <v>7.8235701899999999</v>
      </c>
      <c r="E1439" s="28">
        <v>31.886753800000001</v>
      </c>
      <c r="F1439" s="28">
        <v>26.344447299999999</v>
      </c>
      <c r="G1439" s="28">
        <v>21.7536545</v>
      </c>
      <c r="H1439" s="28">
        <v>85.887803000000005</v>
      </c>
      <c r="I1439" s="28">
        <v>66.185841499999995</v>
      </c>
      <c r="J1439" s="28">
        <v>997.45585900000003</v>
      </c>
      <c r="K1439" s="28">
        <v>985.19900600000005</v>
      </c>
      <c r="L1439" s="42">
        <v>6.0939198799999996</v>
      </c>
      <c r="M1439" s="28">
        <v>135.73211699999999</v>
      </c>
      <c r="N1439" s="28">
        <v>1635.85637</v>
      </c>
      <c r="O1439" s="28">
        <v>1093.49829</v>
      </c>
      <c r="P1439" s="28">
        <v>906.50171</v>
      </c>
    </row>
    <row r="1440" spans="1:16" x14ac:dyDescent="0.25">
      <c r="A1440" s="41">
        <v>5</v>
      </c>
      <c r="B1440" s="41">
        <v>178</v>
      </c>
      <c r="C1440" s="28">
        <v>15.1200697</v>
      </c>
      <c r="D1440" s="28">
        <v>7.8276122600000004</v>
      </c>
      <c r="E1440" s="28">
        <v>31.7275308</v>
      </c>
      <c r="F1440" s="28">
        <v>26.396791499999999</v>
      </c>
      <c r="G1440" s="28">
        <v>21.657865999999999</v>
      </c>
      <c r="H1440" s="28">
        <v>86.565874699999995</v>
      </c>
      <c r="I1440" s="28">
        <v>65.709008100000005</v>
      </c>
      <c r="J1440" s="28">
        <v>996.65512999999999</v>
      </c>
      <c r="K1440" s="28">
        <v>984.86035000000004</v>
      </c>
      <c r="L1440" s="42">
        <v>5.9433252100000002</v>
      </c>
      <c r="M1440" s="28">
        <v>135.431037</v>
      </c>
      <c r="N1440" s="28">
        <v>1643.65561</v>
      </c>
      <c r="O1440" s="28">
        <v>1066.4754499999999</v>
      </c>
      <c r="P1440" s="28">
        <v>933.52454999999998</v>
      </c>
    </row>
    <row r="1441" spans="1:16" x14ac:dyDescent="0.25">
      <c r="A1441" s="41">
        <v>5</v>
      </c>
      <c r="B1441" s="41">
        <v>179</v>
      </c>
      <c r="C1441" s="28">
        <v>15.2637464</v>
      </c>
      <c r="D1441" s="28">
        <v>7.8437963699999997</v>
      </c>
      <c r="E1441" s="28">
        <v>31.913958600000001</v>
      </c>
      <c r="F1441" s="28">
        <v>26.574627499999998</v>
      </c>
      <c r="G1441" s="28">
        <v>21.637903099999999</v>
      </c>
      <c r="H1441" s="28">
        <v>86.999946100000003</v>
      </c>
      <c r="I1441" s="28">
        <v>66.876261700000001</v>
      </c>
      <c r="J1441" s="28">
        <v>997.56751799999995</v>
      </c>
      <c r="K1441" s="28">
        <v>987.317138</v>
      </c>
      <c r="L1441" s="42">
        <v>5.8709750300000003</v>
      </c>
      <c r="M1441" s="28">
        <v>136.400262</v>
      </c>
      <c r="N1441" s="28">
        <v>1637.8232499999999</v>
      </c>
      <c r="O1441" s="28">
        <v>1053.49287</v>
      </c>
      <c r="P1441" s="28">
        <v>946.50712999999996</v>
      </c>
    </row>
    <row r="1442" spans="1:16" x14ac:dyDescent="0.25">
      <c r="A1442" s="41">
        <v>5</v>
      </c>
      <c r="B1442" s="41">
        <v>180</v>
      </c>
      <c r="C1442" s="28">
        <v>15.282367300000001</v>
      </c>
      <c r="D1442" s="28">
        <v>7.7234074399999999</v>
      </c>
      <c r="E1442" s="28">
        <v>31.950928399999999</v>
      </c>
      <c r="F1442" s="28">
        <v>26.499016399999999</v>
      </c>
      <c r="G1442" s="28">
        <v>21.6673273</v>
      </c>
      <c r="H1442" s="28">
        <v>87.133628000000002</v>
      </c>
      <c r="I1442" s="28">
        <v>66.968157399999996</v>
      </c>
      <c r="J1442" s="28">
        <v>997.39453500000002</v>
      </c>
      <c r="K1442" s="28">
        <v>989.55909399999996</v>
      </c>
      <c r="L1442" s="42">
        <v>5.9807357200000002</v>
      </c>
      <c r="M1442" s="28">
        <v>136.65295499999999</v>
      </c>
      <c r="N1442" s="28">
        <v>1669.72317</v>
      </c>
      <c r="O1442" s="28">
        <v>1073.18842</v>
      </c>
      <c r="P1442" s="28">
        <v>926.81158000000005</v>
      </c>
    </row>
    <row r="1443" spans="1:16" x14ac:dyDescent="0.25">
      <c r="A1443" s="41">
        <v>5</v>
      </c>
      <c r="B1443" s="41">
        <v>181</v>
      </c>
      <c r="C1443" s="28">
        <v>15.452709499999999</v>
      </c>
      <c r="D1443" s="28">
        <v>7.6833151199999996</v>
      </c>
      <c r="E1443" s="28">
        <v>32.000241600000003</v>
      </c>
      <c r="F1443" s="28">
        <v>26.195428100000001</v>
      </c>
      <c r="G1443" s="28">
        <v>21.968389899999998</v>
      </c>
      <c r="H1443" s="28">
        <v>84.851189500000004</v>
      </c>
      <c r="I1443" s="28">
        <v>66.715038800000002</v>
      </c>
      <c r="J1443" s="28">
        <v>998.96800599999995</v>
      </c>
      <c r="K1443" s="28">
        <v>991.07661199999995</v>
      </c>
      <c r="L1443" s="42">
        <v>6.0269839699999999</v>
      </c>
      <c r="M1443" s="28">
        <v>136.617211</v>
      </c>
      <c r="N1443" s="28">
        <v>1665.0005000000001</v>
      </c>
      <c r="O1443" s="28">
        <v>1081.4872499999999</v>
      </c>
      <c r="P1443" s="28">
        <v>918.51274999999998</v>
      </c>
    </row>
    <row r="1444" spans="1:16" x14ac:dyDescent="0.25">
      <c r="A1444" s="41">
        <v>5</v>
      </c>
      <c r="B1444" s="41">
        <v>182</v>
      </c>
      <c r="C1444" s="28">
        <v>15.386491700000001</v>
      </c>
      <c r="D1444" s="28">
        <v>7.6405501200000003</v>
      </c>
      <c r="E1444" s="28">
        <v>32.004406299999999</v>
      </c>
      <c r="F1444" s="28">
        <v>26.325687899999998</v>
      </c>
      <c r="G1444" s="28">
        <v>21.8332388</v>
      </c>
      <c r="H1444" s="28">
        <v>85.637531100000004</v>
      </c>
      <c r="I1444" s="28">
        <v>67.0962222</v>
      </c>
      <c r="J1444" s="28">
        <v>998.19354799999996</v>
      </c>
      <c r="K1444" s="28">
        <v>986.77333199999998</v>
      </c>
      <c r="L1444" s="42">
        <v>6.1235584599999999</v>
      </c>
      <c r="M1444" s="28">
        <v>136.43342100000001</v>
      </c>
      <c r="N1444" s="28">
        <v>1664.7985000000001</v>
      </c>
      <c r="O1444" s="28">
        <v>1098.81666</v>
      </c>
      <c r="P1444" s="28">
        <v>901.18334000000004</v>
      </c>
    </row>
    <row r="1445" spans="1:16" x14ac:dyDescent="0.25">
      <c r="A1445" s="41">
        <v>5</v>
      </c>
      <c r="B1445" s="41">
        <v>183</v>
      </c>
      <c r="C1445" s="28">
        <v>15.4278242</v>
      </c>
      <c r="D1445" s="28">
        <v>7.6843591900000003</v>
      </c>
      <c r="E1445" s="28">
        <v>31.753059400000001</v>
      </c>
      <c r="F1445" s="28">
        <v>26.505672100000002</v>
      </c>
      <c r="G1445" s="28">
        <v>22.075246199999999</v>
      </c>
      <c r="H1445" s="28">
        <v>85.472650099999996</v>
      </c>
      <c r="I1445" s="28">
        <v>66.800106299999996</v>
      </c>
      <c r="J1445" s="28">
        <v>999.38510299999996</v>
      </c>
      <c r="K1445" s="28">
        <v>980.118516</v>
      </c>
      <c r="L1445" s="42">
        <v>6.0881188899999996</v>
      </c>
      <c r="M1445" s="28">
        <v>137.472171</v>
      </c>
      <c r="N1445" s="28">
        <v>1664.6011599999999</v>
      </c>
      <c r="O1445" s="28">
        <v>1092.4573499999999</v>
      </c>
      <c r="P1445" s="28">
        <v>907.54264999999998</v>
      </c>
    </row>
    <row r="1446" spans="1:16" x14ac:dyDescent="0.25">
      <c r="A1446" s="41">
        <v>5</v>
      </c>
      <c r="B1446" s="41">
        <v>184</v>
      </c>
      <c r="C1446" s="28">
        <v>15.6027775</v>
      </c>
      <c r="D1446" s="28">
        <v>7.6705796700000004</v>
      </c>
      <c r="E1446" s="28">
        <v>31.619347999999999</v>
      </c>
      <c r="F1446" s="28">
        <v>26.218191900000001</v>
      </c>
      <c r="G1446" s="28">
        <v>21.7050129</v>
      </c>
      <c r="H1446" s="28">
        <v>83.878539099999998</v>
      </c>
      <c r="I1446" s="28">
        <v>65.160914000000005</v>
      </c>
      <c r="J1446" s="28">
        <v>999.29146200000002</v>
      </c>
      <c r="K1446" s="28">
        <v>983.85386300000005</v>
      </c>
      <c r="L1446" s="42">
        <v>6.1467415499999998</v>
      </c>
      <c r="M1446" s="28">
        <v>135.856595</v>
      </c>
      <c r="N1446" s="28">
        <v>1646.49047</v>
      </c>
      <c r="O1446" s="28">
        <v>1102.9766500000001</v>
      </c>
      <c r="P1446" s="28">
        <v>897.02335000000005</v>
      </c>
    </row>
    <row r="1447" spans="1:16" x14ac:dyDescent="0.25">
      <c r="A1447" s="41">
        <v>5</v>
      </c>
      <c r="B1447" s="41">
        <v>185</v>
      </c>
      <c r="C1447" s="28">
        <v>15.655937700000001</v>
      </c>
      <c r="D1447" s="28">
        <v>7.7652709499999997</v>
      </c>
      <c r="E1447" s="28">
        <v>31.693291899999998</v>
      </c>
      <c r="F1447" s="28">
        <v>26.350797199999999</v>
      </c>
      <c r="G1447" s="28">
        <v>21.690561500000001</v>
      </c>
      <c r="H1447" s="28">
        <v>84.888257300000006</v>
      </c>
      <c r="I1447" s="28">
        <v>65.8681713</v>
      </c>
      <c r="J1447" s="28">
        <v>999.49667599999998</v>
      </c>
      <c r="K1447" s="28">
        <v>985.42473800000005</v>
      </c>
      <c r="L1447" s="42">
        <v>6.1622402899999997</v>
      </c>
      <c r="M1447" s="28">
        <v>136.96357599999999</v>
      </c>
      <c r="N1447" s="28">
        <v>1661.4603099999999</v>
      </c>
      <c r="O1447" s="28">
        <v>1105.75776</v>
      </c>
      <c r="P1447" s="28">
        <v>894.24224000000004</v>
      </c>
    </row>
    <row r="1448" spans="1:16" x14ac:dyDescent="0.25">
      <c r="A1448" s="41">
        <v>5</v>
      </c>
      <c r="B1448" s="41">
        <v>186</v>
      </c>
      <c r="C1448" s="28">
        <v>15.7543691</v>
      </c>
      <c r="D1448" s="28">
        <v>7.8921547600000004</v>
      </c>
      <c r="E1448" s="28">
        <v>32.002784300000002</v>
      </c>
      <c r="F1448" s="28">
        <v>26.415704999999999</v>
      </c>
      <c r="G1448" s="28">
        <v>21.9514499</v>
      </c>
      <c r="H1448" s="28">
        <v>83.5041595</v>
      </c>
      <c r="I1448" s="28">
        <v>66.798778999999996</v>
      </c>
      <c r="J1448" s="28">
        <v>997.12514599999997</v>
      </c>
      <c r="K1448" s="28">
        <v>986.36200099999996</v>
      </c>
      <c r="L1448" s="42">
        <v>6.1681068100000003</v>
      </c>
      <c r="M1448" s="28">
        <v>137.72985399999999</v>
      </c>
      <c r="N1448" s="28">
        <v>1662.1263200000001</v>
      </c>
      <c r="O1448" s="28">
        <v>1106.8104499999999</v>
      </c>
      <c r="P1448" s="28">
        <v>893.18955000000005</v>
      </c>
    </row>
    <row r="1449" spans="1:16" x14ac:dyDescent="0.25">
      <c r="A1449" s="41">
        <v>5</v>
      </c>
      <c r="B1449" s="41">
        <v>187</v>
      </c>
      <c r="C1449" s="28">
        <v>15.735690999999999</v>
      </c>
      <c r="D1449" s="28">
        <v>7.9158025900000002</v>
      </c>
      <c r="E1449" s="28">
        <v>32.164879300000003</v>
      </c>
      <c r="F1449" s="28">
        <v>26.399479199999998</v>
      </c>
      <c r="G1449" s="28">
        <v>22.039585299999999</v>
      </c>
      <c r="H1449" s="28">
        <v>83.424707900000001</v>
      </c>
      <c r="I1449" s="28">
        <v>67.387678899999997</v>
      </c>
      <c r="J1449" s="28">
        <v>997.66633300000001</v>
      </c>
      <c r="K1449" s="28">
        <v>983.67226600000004</v>
      </c>
      <c r="L1449" s="42">
        <v>6.159395</v>
      </c>
      <c r="M1449" s="28">
        <v>139.23244</v>
      </c>
      <c r="N1449" s="28">
        <v>1680.43516</v>
      </c>
      <c r="O1449" s="28">
        <v>1105.2472</v>
      </c>
      <c r="P1449" s="28">
        <v>894.75279999999998</v>
      </c>
    </row>
    <row r="1450" spans="1:16" x14ac:dyDescent="0.25">
      <c r="A1450" s="41">
        <v>5</v>
      </c>
      <c r="B1450" s="41">
        <v>188</v>
      </c>
      <c r="C1450" s="28">
        <v>15.8708034</v>
      </c>
      <c r="D1450" s="28">
        <v>7.8902306900000001</v>
      </c>
      <c r="E1450" s="28">
        <v>32.094948700000003</v>
      </c>
      <c r="F1450" s="28">
        <v>26.2305426</v>
      </c>
      <c r="G1450" s="28">
        <v>21.979031599999999</v>
      </c>
      <c r="H1450" s="28">
        <v>83.518763699999994</v>
      </c>
      <c r="I1450" s="28">
        <v>67.030285599999999</v>
      </c>
      <c r="J1450" s="28">
        <v>997.18736200000001</v>
      </c>
      <c r="K1450" s="28">
        <v>982.89866800000004</v>
      </c>
      <c r="L1450" s="42">
        <v>6.1787234900000003</v>
      </c>
      <c r="M1450" s="28">
        <v>138.73028600000001</v>
      </c>
      <c r="N1450" s="28">
        <v>1668.0618999999999</v>
      </c>
      <c r="O1450" s="28">
        <v>1108.71552</v>
      </c>
      <c r="P1450" s="28">
        <v>891.28448000000003</v>
      </c>
    </row>
    <row r="1451" spans="1:16" x14ac:dyDescent="0.25">
      <c r="A1451" s="41">
        <v>5</v>
      </c>
      <c r="B1451" s="41">
        <v>189</v>
      </c>
      <c r="C1451" s="28">
        <v>16.040068900000001</v>
      </c>
      <c r="D1451" s="28">
        <v>7.7881480500000002</v>
      </c>
      <c r="E1451" s="28">
        <v>32.148741299999998</v>
      </c>
      <c r="F1451" s="28">
        <v>26.170039299999999</v>
      </c>
      <c r="G1451" s="28">
        <v>21.712486200000001</v>
      </c>
      <c r="H1451" s="28">
        <v>82.654897599999998</v>
      </c>
      <c r="I1451" s="28">
        <v>66.199145099999996</v>
      </c>
      <c r="J1451" s="28">
        <v>999.29239500000006</v>
      </c>
      <c r="K1451" s="28">
        <v>985.70009500000003</v>
      </c>
      <c r="L1451" s="42">
        <v>6.0988692699999998</v>
      </c>
      <c r="M1451" s="28">
        <v>138.14480699999999</v>
      </c>
      <c r="N1451" s="28">
        <v>1659.0242699999999</v>
      </c>
      <c r="O1451" s="28">
        <v>1094.3864100000001</v>
      </c>
      <c r="P1451" s="28">
        <v>905.61359000000004</v>
      </c>
    </row>
    <row r="1452" spans="1:16" x14ac:dyDescent="0.25">
      <c r="A1452" s="41">
        <v>5</v>
      </c>
      <c r="B1452" s="41">
        <v>190</v>
      </c>
      <c r="C1452" s="28">
        <v>15.993835900000001</v>
      </c>
      <c r="D1452" s="28">
        <v>7.9156882800000004</v>
      </c>
      <c r="E1452" s="28">
        <v>32.149149600000001</v>
      </c>
      <c r="F1452" s="28">
        <v>26.129435699999998</v>
      </c>
      <c r="G1452" s="28">
        <v>21.932957600000002</v>
      </c>
      <c r="H1452" s="28">
        <v>82.763351499999999</v>
      </c>
      <c r="I1452" s="28">
        <v>66.128610300000005</v>
      </c>
      <c r="J1452" s="28">
        <v>997.26142200000004</v>
      </c>
      <c r="K1452" s="28">
        <v>984.534941</v>
      </c>
      <c r="L1452" s="42">
        <v>6.0042880399999996</v>
      </c>
      <c r="M1452" s="28">
        <v>138.499943</v>
      </c>
      <c r="N1452" s="28">
        <v>1619.2325499999999</v>
      </c>
      <c r="O1452" s="28">
        <v>1077.4146699999999</v>
      </c>
      <c r="P1452" s="28">
        <v>922.58533</v>
      </c>
    </row>
    <row r="1453" spans="1:16" x14ac:dyDescent="0.25">
      <c r="A1453" s="41">
        <v>5</v>
      </c>
      <c r="B1453" s="41">
        <v>191</v>
      </c>
      <c r="C1453" s="28">
        <v>16.095550299999999</v>
      </c>
      <c r="D1453" s="28">
        <v>7.8711518399999996</v>
      </c>
      <c r="E1453" s="28">
        <v>32.093827300000001</v>
      </c>
      <c r="F1453" s="28">
        <v>26.248315000000002</v>
      </c>
      <c r="G1453" s="28">
        <v>22.024926099999998</v>
      </c>
      <c r="H1453" s="28">
        <v>82.702520199999995</v>
      </c>
      <c r="I1453" s="28">
        <v>66.421554200000003</v>
      </c>
      <c r="J1453" s="28">
        <v>998.73093400000005</v>
      </c>
      <c r="K1453" s="28">
        <v>988.163365</v>
      </c>
      <c r="L1453" s="42">
        <v>6.0887046399999996</v>
      </c>
      <c r="M1453" s="28">
        <v>138.46019200000001</v>
      </c>
      <c r="N1453" s="28">
        <v>1683.27214</v>
      </c>
      <c r="O1453" s="28">
        <v>1092.5624600000001</v>
      </c>
      <c r="P1453" s="28">
        <v>907.43754000000001</v>
      </c>
    </row>
    <row r="1454" spans="1:16" x14ac:dyDescent="0.25">
      <c r="A1454" s="41">
        <v>5</v>
      </c>
      <c r="B1454" s="41">
        <v>192</v>
      </c>
      <c r="C1454" s="28">
        <v>16.206629800000002</v>
      </c>
      <c r="D1454" s="28">
        <v>7.93382188</v>
      </c>
      <c r="E1454" s="28">
        <v>32.014339399999997</v>
      </c>
      <c r="F1454" s="28">
        <v>26.566140699999998</v>
      </c>
      <c r="G1454" s="28">
        <v>21.992467099999999</v>
      </c>
      <c r="H1454" s="28">
        <v>82.888833300000002</v>
      </c>
      <c r="I1454" s="28">
        <v>65.718652800000001</v>
      </c>
      <c r="J1454" s="28">
        <v>997.77012999999999</v>
      </c>
      <c r="K1454" s="28">
        <v>990.35201600000005</v>
      </c>
      <c r="L1454" s="42">
        <v>5.9386930800000002</v>
      </c>
      <c r="M1454" s="28">
        <v>138.87304700000001</v>
      </c>
      <c r="N1454" s="28">
        <v>1676.00352</v>
      </c>
      <c r="O1454" s="28">
        <v>1065.6442500000001</v>
      </c>
      <c r="P1454" s="28">
        <v>934.35574999999994</v>
      </c>
    </row>
    <row r="1455" spans="1:16" x14ac:dyDescent="0.25">
      <c r="A1455" s="41">
        <v>5</v>
      </c>
      <c r="B1455" s="41">
        <v>193</v>
      </c>
      <c r="C1455" s="28">
        <v>16.231360500000001</v>
      </c>
      <c r="D1455" s="28">
        <v>7.9976300699999996</v>
      </c>
      <c r="E1455" s="28">
        <v>31.726283899999999</v>
      </c>
      <c r="F1455" s="28">
        <v>26.6877198</v>
      </c>
      <c r="G1455" s="28">
        <v>22.151729599999999</v>
      </c>
      <c r="H1455" s="28">
        <v>81.822868700000001</v>
      </c>
      <c r="I1455" s="28">
        <v>65.341478600000002</v>
      </c>
      <c r="J1455" s="28">
        <v>998.79718800000001</v>
      </c>
      <c r="K1455" s="28">
        <v>989.39833099999998</v>
      </c>
      <c r="L1455" s="42">
        <v>5.7988466599999997</v>
      </c>
      <c r="M1455" s="28">
        <v>138.667383</v>
      </c>
      <c r="N1455" s="28">
        <v>1642.9508900000001</v>
      </c>
      <c r="O1455" s="28">
        <v>1040.55009</v>
      </c>
      <c r="P1455" s="28">
        <v>959.44991000000005</v>
      </c>
    </row>
    <row r="1456" spans="1:16" x14ac:dyDescent="0.25">
      <c r="A1456" s="41">
        <v>5</v>
      </c>
      <c r="B1456" s="41">
        <v>194</v>
      </c>
      <c r="C1456" s="28">
        <v>16.210553300000001</v>
      </c>
      <c r="D1456" s="28">
        <v>8.0342961099999997</v>
      </c>
      <c r="E1456" s="28">
        <v>31.7413244</v>
      </c>
      <c r="F1456" s="28">
        <v>26.782968499999999</v>
      </c>
      <c r="G1456" s="28">
        <v>21.593284300000001</v>
      </c>
      <c r="H1456" s="28">
        <v>81.347478699999996</v>
      </c>
      <c r="I1456" s="28">
        <v>65.683432499999995</v>
      </c>
      <c r="J1456" s="28">
        <v>997.80989199999999</v>
      </c>
      <c r="K1456" s="28">
        <v>983.38692200000003</v>
      </c>
      <c r="L1456" s="42">
        <v>5.7812121200000002</v>
      </c>
      <c r="M1456" s="28">
        <v>138.188264</v>
      </c>
      <c r="N1456" s="28">
        <v>1683.6486500000001</v>
      </c>
      <c r="O1456" s="28">
        <v>1037.38573</v>
      </c>
      <c r="P1456" s="28">
        <v>962.61427000000003</v>
      </c>
    </row>
    <row r="1457" spans="1:16" x14ac:dyDescent="0.25">
      <c r="A1457" s="41">
        <v>5</v>
      </c>
      <c r="B1457" s="41">
        <v>195</v>
      </c>
      <c r="C1457" s="28">
        <v>16.192978400000001</v>
      </c>
      <c r="D1457" s="28">
        <v>8.0579217500000002</v>
      </c>
      <c r="E1457" s="28">
        <v>32.281194200000002</v>
      </c>
      <c r="F1457" s="28">
        <v>27.236142300000001</v>
      </c>
      <c r="G1457" s="28">
        <v>21.613495100000002</v>
      </c>
      <c r="H1457" s="28">
        <v>82.879419400000003</v>
      </c>
      <c r="I1457" s="28">
        <v>66.608170000000001</v>
      </c>
      <c r="J1457" s="28">
        <v>997.55864399999996</v>
      </c>
      <c r="K1457" s="28">
        <v>980.66718800000001</v>
      </c>
      <c r="L1457" s="42">
        <v>5.8078222899999998</v>
      </c>
      <c r="M1457" s="28">
        <v>138.450896</v>
      </c>
      <c r="N1457" s="28">
        <v>1671.87095</v>
      </c>
      <c r="O1457" s="28">
        <v>1042.1606899999999</v>
      </c>
      <c r="P1457" s="28">
        <v>957.83930999999995</v>
      </c>
    </row>
    <row r="1458" spans="1:16" x14ac:dyDescent="0.25">
      <c r="A1458" s="41">
        <v>5</v>
      </c>
      <c r="B1458" s="41">
        <v>196</v>
      </c>
      <c r="C1458" s="28">
        <v>16.334104199999999</v>
      </c>
      <c r="D1458" s="28">
        <v>8.0243683699999995</v>
      </c>
      <c r="E1458" s="28">
        <v>32.294257899999998</v>
      </c>
      <c r="F1458" s="28">
        <v>27.192653</v>
      </c>
      <c r="G1458" s="28">
        <v>21.8267253</v>
      </c>
      <c r="H1458" s="28">
        <v>81.099038199999995</v>
      </c>
      <c r="I1458" s="28">
        <v>64.945291400000002</v>
      </c>
      <c r="J1458" s="28">
        <v>997.38050199999998</v>
      </c>
      <c r="K1458" s="28">
        <v>974.767561</v>
      </c>
      <c r="L1458" s="42">
        <v>5.6716794500000001</v>
      </c>
      <c r="M1458" s="28">
        <v>138.17325600000001</v>
      </c>
      <c r="N1458" s="28">
        <v>1655.0181299999999</v>
      </c>
      <c r="O1458" s="28">
        <v>1017.7311</v>
      </c>
      <c r="P1458" s="28">
        <v>982.26890000000003</v>
      </c>
    </row>
    <row r="1459" spans="1:16" x14ac:dyDescent="0.25">
      <c r="A1459" s="41">
        <v>5</v>
      </c>
      <c r="B1459" s="41">
        <v>197</v>
      </c>
      <c r="C1459" s="28">
        <v>16.4758399</v>
      </c>
      <c r="D1459" s="28">
        <v>8.0430571700000009</v>
      </c>
      <c r="E1459" s="28">
        <v>32.632028900000002</v>
      </c>
      <c r="F1459" s="28">
        <v>27.419953700000001</v>
      </c>
      <c r="G1459" s="28">
        <v>21.568998700000002</v>
      </c>
      <c r="H1459" s="28">
        <v>82.062658200000001</v>
      </c>
      <c r="I1459" s="28">
        <v>64.403460999999993</v>
      </c>
      <c r="J1459" s="28">
        <v>997.90156500000001</v>
      </c>
      <c r="K1459" s="28">
        <v>973.91334199999994</v>
      </c>
      <c r="L1459" s="42">
        <v>5.6536956199999997</v>
      </c>
      <c r="M1459" s="28">
        <v>138.447138</v>
      </c>
      <c r="N1459" s="28">
        <v>1711.8694599999999</v>
      </c>
      <c r="O1459" s="28">
        <v>1014.50406</v>
      </c>
      <c r="P1459" s="28">
        <v>985.49594000000002</v>
      </c>
    </row>
    <row r="1460" spans="1:16" x14ac:dyDescent="0.25">
      <c r="A1460" s="41">
        <v>5</v>
      </c>
      <c r="B1460" s="41">
        <v>198</v>
      </c>
      <c r="C1460" s="28">
        <v>16.425627299999999</v>
      </c>
      <c r="D1460" s="28">
        <v>8.0456685300000004</v>
      </c>
      <c r="E1460" s="28">
        <v>32.316476799999997</v>
      </c>
      <c r="F1460" s="28">
        <v>27.2089897</v>
      </c>
      <c r="G1460" s="28">
        <v>22.0479229</v>
      </c>
      <c r="H1460" s="28">
        <v>83.148522299999996</v>
      </c>
      <c r="I1460" s="28">
        <v>65.005860100000007</v>
      </c>
      <c r="J1460" s="28">
        <v>997.13838299999998</v>
      </c>
      <c r="K1460" s="28">
        <v>982.56178499999999</v>
      </c>
      <c r="L1460" s="42">
        <v>5.5601165799999999</v>
      </c>
      <c r="M1460" s="28">
        <v>138.40283199999999</v>
      </c>
      <c r="N1460" s="28">
        <v>1732.76911</v>
      </c>
      <c r="O1460" s="28">
        <v>997.71216000000004</v>
      </c>
      <c r="P1460" s="28">
        <v>1002.28784</v>
      </c>
    </row>
    <row r="1461" spans="1:16" x14ac:dyDescent="0.25">
      <c r="A1461" s="41">
        <v>5</v>
      </c>
      <c r="B1461" s="41">
        <v>199</v>
      </c>
      <c r="C1461" s="28">
        <v>16.485802100000001</v>
      </c>
      <c r="D1461" s="28">
        <v>8.0895174599999997</v>
      </c>
      <c r="E1461" s="28">
        <v>32.468486300000002</v>
      </c>
      <c r="F1461" s="28">
        <v>26.940384300000002</v>
      </c>
      <c r="G1461" s="28">
        <v>21.7874382</v>
      </c>
      <c r="H1461" s="28">
        <v>81.271531999999993</v>
      </c>
      <c r="I1461" s="28">
        <v>63.970157499999999</v>
      </c>
      <c r="J1461" s="28">
        <v>997.703667</v>
      </c>
      <c r="K1461" s="28">
        <v>979.556017</v>
      </c>
      <c r="L1461" s="42">
        <v>5.4933990000000001</v>
      </c>
      <c r="M1461" s="28">
        <v>137.739723</v>
      </c>
      <c r="N1461" s="28">
        <v>1738.1140499999999</v>
      </c>
      <c r="O1461" s="28">
        <v>985.74030000000005</v>
      </c>
      <c r="P1461" s="28">
        <v>1014.2597</v>
      </c>
    </row>
    <row r="1462" spans="1:16" x14ac:dyDescent="0.25">
      <c r="A1462" s="41">
        <v>5</v>
      </c>
      <c r="B1462" s="41">
        <v>200</v>
      </c>
      <c r="C1462" s="28">
        <v>16.411468899999999</v>
      </c>
      <c r="D1462" s="28">
        <v>8.0945537600000002</v>
      </c>
      <c r="E1462" s="28">
        <v>32.666306599999999</v>
      </c>
      <c r="F1462" s="28">
        <v>26.890126500000001</v>
      </c>
      <c r="G1462" s="28">
        <v>21.9006705</v>
      </c>
      <c r="H1462" s="28">
        <v>81.7879875</v>
      </c>
      <c r="I1462" s="28">
        <v>64.731581199999994</v>
      </c>
      <c r="J1462" s="28">
        <v>996.39437399999997</v>
      </c>
      <c r="K1462" s="28">
        <v>977.11406899999997</v>
      </c>
      <c r="L1462" s="42">
        <v>5.5332142199999996</v>
      </c>
      <c r="M1462" s="28">
        <v>138.86394100000001</v>
      </c>
      <c r="N1462" s="28">
        <v>1755.1681799999999</v>
      </c>
      <c r="O1462" s="28">
        <v>992.88477</v>
      </c>
      <c r="P1462" s="28">
        <v>1007.11523</v>
      </c>
    </row>
    <row r="1463" spans="1:16" x14ac:dyDescent="0.25">
      <c r="A1463" s="41">
        <v>5</v>
      </c>
      <c r="B1463" s="41">
        <v>201</v>
      </c>
      <c r="C1463" s="28">
        <v>16.362669400000001</v>
      </c>
      <c r="D1463" s="28">
        <v>8.0068664500000004</v>
      </c>
      <c r="E1463" s="28">
        <v>32.974145999999998</v>
      </c>
      <c r="F1463" s="28">
        <v>27.126164800000002</v>
      </c>
      <c r="G1463" s="28">
        <v>21.781307300000002</v>
      </c>
      <c r="H1463" s="28">
        <v>80.565176699999995</v>
      </c>
      <c r="I1463" s="28">
        <v>64.681696900000006</v>
      </c>
      <c r="J1463" s="28">
        <v>997.46558100000004</v>
      </c>
      <c r="K1463" s="28">
        <v>973.23366599999997</v>
      </c>
      <c r="L1463" s="42">
        <v>5.5323120699999997</v>
      </c>
      <c r="M1463" s="28">
        <v>138.383993</v>
      </c>
      <c r="N1463" s="28">
        <v>1781.1681799999999</v>
      </c>
      <c r="O1463" s="28">
        <v>992.72289000000001</v>
      </c>
      <c r="P1463" s="28">
        <v>1007.27711</v>
      </c>
    </row>
    <row r="1464" spans="1:16" x14ac:dyDescent="0.25">
      <c r="A1464" s="41">
        <v>5</v>
      </c>
      <c r="B1464" s="41">
        <v>202</v>
      </c>
      <c r="C1464" s="28">
        <v>16.401987200000001</v>
      </c>
      <c r="D1464" s="28">
        <v>8.0647749599999994</v>
      </c>
      <c r="E1464" s="28">
        <v>33.180714299999998</v>
      </c>
      <c r="F1464" s="28">
        <v>26.650590600000001</v>
      </c>
      <c r="G1464" s="28">
        <v>21.6895965</v>
      </c>
      <c r="H1464" s="28">
        <v>80.640578500000004</v>
      </c>
      <c r="I1464" s="28">
        <v>64.628665600000005</v>
      </c>
      <c r="J1464" s="28">
        <v>996.02206100000001</v>
      </c>
      <c r="K1464" s="28">
        <v>967.51457300000004</v>
      </c>
      <c r="L1464" s="42">
        <v>5.4384831299999998</v>
      </c>
      <c r="M1464" s="28">
        <v>137.918936</v>
      </c>
      <c r="N1464" s="28">
        <v>1761.8255899999999</v>
      </c>
      <c r="O1464" s="28">
        <v>975.88613999999995</v>
      </c>
      <c r="P1464" s="28">
        <v>1024.1138599999999</v>
      </c>
    </row>
    <row r="1465" spans="1:16" x14ac:dyDescent="0.25">
      <c r="A1465" s="41">
        <v>5</v>
      </c>
      <c r="B1465" s="41">
        <v>203</v>
      </c>
      <c r="C1465" s="28">
        <v>16.3886444</v>
      </c>
      <c r="D1465" s="28">
        <v>8.1011611800000001</v>
      </c>
      <c r="E1465" s="28">
        <v>33.2153481</v>
      </c>
      <c r="F1465" s="28">
        <v>26.519785599999999</v>
      </c>
      <c r="G1465" s="28">
        <v>21.2136864</v>
      </c>
      <c r="H1465" s="28">
        <v>81.430630600000001</v>
      </c>
      <c r="I1465" s="28">
        <v>63.592438199999997</v>
      </c>
      <c r="J1465" s="28">
        <v>996.62356499999999</v>
      </c>
      <c r="K1465" s="28">
        <v>966.45879500000001</v>
      </c>
      <c r="L1465" s="42">
        <v>5.4748145900000003</v>
      </c>
      <c r="M1465" s="28">
        <v>136.941192</v>
      </c>
      <c r="N1465" s="28">
        <v>1738.2794200000001</v>
      </c>
      <c r="O1465" s="28">
        <v>982.40548999999999</v>
      </c>
      <c r="P1465" s="28">
        <v>1017.59451</v>
      </c>
    </row>
    <row r="1466" spans="1:16" x14ac:dyDescent="0.25">
      <c r="A1466" s="41">
        <v>5</v>
      </c>
      <c r="B1466" s="41">
        <v>204</v>
      </c>
      <c r="C1466" s="28">
        <v>16.467212799999999</v>
      </c>
      <c r="D1466" s="28">
        <v>8.07151307</v>
      </c>
      <c r="E1466" s="28">
        <v>33.550563799999999</v>
      </c>
      <c r="F1466" s="28">
        <v>26.585885900000001</v>
      </c>
      <c r="G1466" s="28">
        <v>21.333192700000001</v>
      </c>
      <c r="H1466" s="28">
        <v>81.248806799999997</v>
      </c>
      <c r="I1466" s="28">
        <v>62.835772499999997</v>
      </c>
      <c r="J1466" s="28">
        <v>995.93439000000001</v>
      </c>
      <c r="K1466" s="28">
        <v>969.19702099999995</v>
      </c>
      <c r="L1466" s="42">
        <v>5.4898544600000001</v>
      </c>
      <c r="M1466" s="28">
        <v>137.51792800000001</v>
      </c>
      <c r="N1466" s="28">
        <v>1757.3554300000001</v>
      </c>
      <c r="O1466" s="28">
        <v>985.10425999999995</v>
      </c>
      <c r="P1466" s="28">
        <v>1014.89574</v>
      </c>
    </row>
    <row r="1467" spans="1:16" x14ac:dyDescent="0.25">
      <c r="A1467" s="41">
        <v>5</v>
      </c>
      <c r="B1467" s="41">
        <v>205</v>
      </c>
      <c r="C1467" s="28">
        <v>16.4798182</v>
      </c>
      <c r="D1467" s="28">
        <v>8.0170618999999999</v>
      </c>
      <c r="E1467" s="28">
        <v>33.671315100000001</v>
      </c>
      <c r="F1467" s="28">
        <v>26.7752607</v>
      </c>
      <c r="G1467" s="28">
        <v>21.586001700000001</v>
      </c>
      <c r="H1467" s="28">
        <v>81.036034799999996</v>
      </c>
      <c r="I1467" s="28">
        <v>63.555529</v>
      </c>
      <c r="J1467" s="28">
        <v>996.74397599999998</v>
      </c>
      <c r="K1467" s="28">
        <v>966.07825600000001</v>
      </c>
      <c r="L1467" s="42">
        <v>5.4589743999999998</v>
      </c>
      <c r="M1467" s="28">
        <v>137.596664</v>
      </c>
      <c r="N1467" s="28">
        <v>1749.12374</v>
      </c>
      <c r="O1467" s="28">
        <v>979.56312000000003</v>
      </c>
      <c r="P1467" s="28">
        <v>1020.43688</v>
      </c>
    </row>
    <row r="1468" spans="1:16" x14ac:dyDescent="0.25">
      <c r="A1468" s="41">
        <v>5</v>
      </c>
      <c r="B1468" s="41">
        <v>206</v>
      </c>
      <c r="C1468" s="28">
        <v>16.6367507</v>
      </c>
      <c r="D1468" s="28">
        <v>8.016629</v>
      </c>
      <c r="E1468" s="28">
        <v>33.324767999999999</v>
      </c>
      <c r="F1468" s="28">
        <v>26.553915400000001</v>
      </c>
      <c r="G1468" s="28">
        <v>21.494728200000001</v>
      </c>
      <c r="H1468" s="28">
        <v>82.0516997</v>
      </c>
      <c r="I1468" s="28">
        <v>64.426546200000004</v>
      </c>
      <c r="J1468" s="28">
        <v>996.65002600000003</v>
      </c>
      <c r="K1468" s="28">
        <v>961.64843399999995</v>
      </c>
      <c r="L1468" s="42">
        <v>5.5306954900000003</v>
      </c>
      <c r="M1468" s="28">
        <v>138.13747499999999</v>
      </c>
      <c r="N1468" s="28">
        <v>1781.7152900000001</v>
      </c>
      <c r="O1468" s="28">
        <v>992.43281000000002</v>
      </c>
      <c r="P1468" s="28">
        <v>1007.56719</v>
      </c>
    </row>
    <row r="1469" spans="1:16" x14ac:dyDescent="0.25">
      <c r="A1469" s="41">
        <v>5</v>
      </c>
      <c r="B1469" s="41">
        <v>207</v>
      </c>
      <c r="C1469" s="28">
        <v>16.789488299999999</v>
      </c>
      <c r="D1469" s="28">
        <v>8.0868144399999995</v>
      </c>
      <c r="E1469" s="28">
        <v>33.448922799999998</v>
      </c>
      <c r="F1469" s="28">
        <v>26.864425000000001</v>
      </c>
      <c r="G1469" s="28">
        <v>21.728991300000001</v>
      </c>
      <c r="H1469" s="28">
        <v>83.271933300000001</v>
      </c>
      <c r="I1469" s="28">
        <v>65.286305499999997</v>
      </c>
      <c r="J1469" s="28">
        <v>996.62134500000002</v>
      </c>
      <c r="K1469" s="28">
        <v>965.21661099999994</v>
      </c>
      <c r="L1469" s="42">
        <v>5.4562166000000003</v>
      </c>
      <c r="M1469" s="28">
        <v>139.796009</v>
      </c>
      <c r="N1469" s="28">
        <v>1778.2247</v>
      </c>
      <c r="O1469" s="28">
        <v>979.06825000000003</v>
      </c>
      <c r="P1469" s="28">
        <v>1020.93175</v>
      </c>
    </row>
    <row r="1470" spans="1:16" x14ac:dyDescent="0.25">
      <c r="A1470" s="41">
        <v>5</v>
      </c>
      <c r="B1470" s="41">
        <v>208</v>
      </c>
      <c r="C1470" s="28">
        <v>16.6709903</v>
      </c>
      <c r="D1470" s="28">
        <v>8.0303396100000004</v>
      </c>
      <c r="E1470" s="28">
        <v>33.6423968</v>
      </c>
      <c r="F1470" s="28">
        <v>26.889625200000001</v>
      </c>
      <c r="G1470" s="28">
        <v>21.477224199999998</v>
      </c>
      <c r="H1470" s="28">
        <v>85.109879399999997</v>
      </c>
      <c r="I1470" s="28">
        <v>63.900509599999999</v>
      </c>
      <c r="J1470" s="28">
        <v>996.21967099999995</v>
      </c>
      <c r="K1470" s="28">
        <v>967.338076</v>
      </c>
      <c r="L1470" s="42">
        <v>5.4587691500000002</v>
      </c>
      <c r="M1470" s="28">
        <v>140.220663</v>
      </c>
      <c r="N1470" s="28">
        <v>1758.1134999999999</v>
      </c>
      <c r="O1470" s="28">
        <v>979.52629000000002</v>
      </c>
      <c r="P1470" s="28">
        <v>1020.47371</v>
      </c>
    </row>
    <row r="1471" spans="1:16" x14ac:dyDescent="0.25">
      <c r="A1471" s="41">
        <v>5</v>
      </c>
      <c r="B1471" s="41">
        <v>209</v>
      </c>
      <c r="C1471" s="28">
        <v>16.825292600000001</v>
      </c>
      <c r="D1471" s="28">
        <v>8.05467011</v>
      </c>
      <c r="E1471" s="28">
        <v>33.532699299999997</v>
      </c>
      <c r="F1471" s="28">
        <v>27.142817300000001</v>
      </c>
      <c r="G1471" s="28">
        <v>21.458931499999998</v>
      </c>
      <c r="H1471" s="28">
        <v>84.828532300000006</v>
      </c>
      <c r="I1471" s="28">
        <v>64.980234999999993</v>
      </c>
      <c r="J1471" s="28">
        <v>996.98584100000005</v>
      </c>
      <c r="K1471" s="28">
        <v>963.36492499999997</v>
      </c>
      <c r="L1471" s="42">
        <v>5.5732629600000001</v>
      </c>
      <c r="M1471" s="28">
        <v>140.81212500000001</v>
      </c>
      <c r="N1471" s="28">
        <v>1735.79519</v>
      </c>
      <c r="O1471" s="28">
        <v>1000.07115</v>
      </c>
      <c r="P1471" s="28">
        <v>999.92885000000001</v>
      </c>
    </row>
    <row r="1472" spans="1:16" x14ac:dyDescent="0.25">
      <c r="A1472" s="41">
        <v>5</v>
      </c>
      <c r="B1472" s="41">
        <v>210</v>
      </c>
      <c r="C1472" s="28">
        <v>16.928387600000001</v>
      </c>
      <c r="D1472" s="28">
        <v>7.9918109900000003</v>
      </c>
      <c r="E1472" s="28">
        <v>33.427971599999999</v>
      </c>
      <c r="F1472" s="28">
        <v>26.997855999999999</v>
      </c>
      <c r="G1472" s="28">
        <v>21.3266189</v>
      </c>
      <c r="H1472" s="28">
        <v>84.721868200000003</v>
      </c>
      <c r="I1472" s="28">
        <v>65.299395099999998</v>
      </c>
      <c r="J1472" s="28">
        <v>997.15530000000001</v>
      </c>
      <c r="K1472" s="28">
        <v>960.39738799999998</v>
      </c>
      <c r="L1472" s="42">
        <v>5.6248066899999998</v>
      </c>
      <c r="M1472" s="28">
        <v>141.020048</v>
      </c>
      <c r="N1472" s="28">
        <v>1730.83592</v>
      </c>
      <c r="O1472" s="28">
        <v>1009.32021</v>
      </c>
      <c r="P1472" s="28">
        <v>990.67979000000003</v>
      </c>
    </row>
    <row r="1473" spans="1:16" x14ac:dyDescent="0.25">
      <c r="A1473" s="41">
        <v>5</v>
      </c>
      <c r="B1473" s="41">
        <v>211</v>
      </c>
      <c r="C1473" s="28">
        <v>17.023612100000001</v>
      </c>
      <c r="D1473" s="28">
        <v>7.8884492399999999</v>
      </c>
      <c r="E1473" s="28">
        <v>33.655816999999999</v>
      </c>
      <c r="F1473" s="28">
        <v>26.832242999999998</v>
      </c>
      <c r="G1473" s="28">
        <v>21.335374999999999</v>
      </c>
      <c r="H1473" s="28">
        <v>85.094235299999994</v>
      </c>
      <c r="I1473" s="28">
        <v>64.487383500000007</v>
      </c>
      <c r="J1473" s="28">
        <v>998.38705300000004</v>
      </c>
      <c r="K1473" s="28">
        <v>955.81548199999997</v>
      </c>
      <c r="L1473" s="42">
        <v>5.5860701500000003</v>
      </c>
      <c r="M1473" s="28">
        <v>140.62816000000001</v>
      </c>
      <c r="N1473" s="28">
        <v>1726.12084</v>
      </c>
      <c r="O1473" s="28">
        <v>1002.36929</v>
      </c>
      <c r="P1473" s="28">
        <v>997.63071000000002</v>
      </c>
    </row>
    <row r="1474" spans="1:16" x14ac:dyDescent="0.25">
      <c r="A1474" s="41">
        <v>5</v>
      </c>
      <c r="B1474" s="41">
        <v>212</v>
      </c>
      <c r="C1474" s="28">
        <v>16.927152</v>
      </c>
      <c r="D1474" s="28">
        <v>7.8266105000000001</v>
      </c>
      <c r="E1474" s="28">
        <v>33.589571900000003</v>
      </c>
      <c r="F1474" s="28">
        <v>26.760912600000001</v>
      </c>
      <c r="G1474" s="28">
        <v>21.576854099999998</v>
      </c>
      <c r="H1474" s="28">
        <v>84.044016499999998</v>
      </c>
      <c r="I1474" s="28">
        <v>65.294439299999993</v>
      </c>
      <c r="J1474" s="28">
        <v>998.19663500000001</v>
      </c>
      <c r="K1474" s="28">
        <v>954.609328</v>
      </c>
      <c r="L1474" s="42">
        <v>5.6160061499999996</v>
      </c>
      <c r="M1474" s="28">
        <v>140.43879699999999</v>
      </c>
      <c r="N1474" s="28">
        <v>1707.23777</v>
      </c>
      <c r="O1474" s="28">
        <v>1007.74103</v>
      </c>
      <c r="P1474" s="28">
        <v>992.25896999999998</v>
      </c>
    </row>
    <row r="1475" spans="1:16" x14ac:dyDescent="0.25">
      <c r="A1475" s="41">
        <v>5</v>
      </c>
      <c r="B1475" s="41">
        <v>213</v>
      </c>
      <c r="C1475" s="28">
        <v>17.0623875</v>
      </c>
      <c r="D1475" s="28">
        <v>7.8722627699999999</v>
      </c>
      <c r="E1475" s="28">
        <v>34.088006100000001</v>
      </c>
      <c r="F1475" s="28">
        <v>27.095132100000001</v>
      </c>
      <c r="G1475" s="28">
        <v>21.543615500000001</v>
      </c>
      <c r="H1475" s="28">
        <v>84.093773299999995</v>
      </c>
      <c r="I1475" s="28">
        <v>65.004882600000002</v>
      </c>
      <c r="J1475" s="28">
        <v>998.02891499999998</v>
      </c>
      <c r="K1475" s="28">
        <v>959.01903200000004</v>
      </c>
      <c r="L1475" s="42">
        <v>5.5874914100000002</v>
      </c>
      <c r="M1475" s="28">
        <v>141.156769</v>
      </c>
      <c r="N1475" s="28">
        <v>1693.1723500000001</v>
      </c>
      <c r="O1475" s="28">
        <v>1002.62432</v>
      </c>
      <c r="P1475" s="28">
        <v>997.37567999999999</v>
      </c>
    </row>
    <row r="1476" spans="1:16" x14ac:dyDescent="0.25">
      <c r="A1476" s="41">
        <v>5</v>
      </c>
      <c r="B1476" s="41">
        <v>214</v>
      </c>
      <c r="C1476" s="28">
        <v>16.826194300000001</v>
      </c>
      <c r="D1476" s="28">
        <v>7.8311289799999999</v>
      </c>
      <c r="E1476" s="28">
        <v>33.581202599999997</v>
      </c>
      <c r="F1476" s="28">
        <v>26.899152399999998</v>
      </c>
      <c r="G1476" s="28">
        <v>21.173649000000001</v>
      </c>
      <c r="H1476" s="28">
        <v>82.317659899999995</v>
      </c>
      <c r="I1476" s="28">
        <v>65.218388099999999</v>
      </c>
      <c r="J1476" s="28">
        <v>998.44051200000001</v>
      </c>
      <c r="K1476" s="28">
        <v>952.66942800000004</v>
      </c>
      <c r="L1476" s="42">
        <v>5.5634753100000003</v>
      </c>
      <c r="M1476" s="28">
        <v>139.58044100000001</v>
      </c>
      <c r="N1476" s="28">
        <v>1692.74783</v>
      </c>
      <c r="O1476" s="28">
        <v>998.31484999999998</v>
      </c>
      <c r="P1476" s="28">
        <v>1001.68515</v>
      </c>
    </row>
    <row r="1477" spans="1:16" x14ac:dyDescent="0.25">
      <c r="A1477" s="41">
        <v>5</v>
      </c>
      <c r="B1477" s="41">
        <v>215</v>
      </c>
      <c r="C1477" s="28">
        <v>17.018410800000002</v>
      </c>
      <c r="D1477" s="28">
        <v>7.8332847900000004</v>
      </c>
      <c r="E1477" s="28">
        <v>33.686968499999999</v>
      </c>
      <c r="F1477" s="28">
        <v>26.9533579</v>
      </c>
      <c r="G1477" s="28">
        <v>21.119592799999999</v>
      </c>
      <c r="H1477" s="28">
        <v>81.496143399999994</v>
      </c>
      <c r="I1477" s="28">
        <v>65.141211100000007</v>
      </c>
      <c r="J1477" s="28">
        <v>999.18689199999994</v>
      </c>
      <c r="K1477" s="28">
        <v>949.930205</v>
      </c>
      <c r="L1477" s="42">
        <v>5.5735245600000001</v>
      </c>
      <c r="M1477" s="28">
        <v>139.111557</v>
      </c>
      <c r="N1477" s="28">
        <v>1654.6188299999999</v>
      </c>
      <c r="O1477" s="28">
        <v>1000.1181</v>
      </c>
      <c r="P1477" s="28">
        <v>999.88189999999997</v>
      </c>
    </row>
    <row r="1478" spans="1:16" x14ac:dyDescent="0.25">
      <c r="A1478" s="41">
        <v>5</v>
      </c>
      <c r="B1478" s="41">
        <v>216</v>
      </c>
      <c r="C1478" s="28">
        <v>16.952217699999999</v>
      </c>
      <c r="D1478" s="28">
        <v>7.8438129300000003</v>
      </c>
      <c r="E1478" s="28">
        <v>33.968431600000002</v>
      </c>
      <c r="F1478" s="28">
        <v>26.990274599999999</v>
      </c>
      <c r="G1478" s="28">
        <v>21.198610299999999</v>
      </c>
      <c r="H1478" s="28">
        <v>82.068202200000002</v>
      </c>
      <c r="I1478" s="28">
        <v>66.328880400000003</v>
      </c>
      <c r="J1478" s="28">
        <v>997.95403799999997</v>
      </c>
      <c r="K1478" s="28">
        <v>948.11825299999998</v>
      </c>
      <c r="L1478" s="42">
        <v>5.6229830600000001</v>
      </c>
      <c r="M1478" s="28">
        <v>139.39498399999999</v>
      </c>
      <c r="N1478" s="28">
        <v>1640.9338600000001</v>
      </c>
      <c r="O1478" s="28">
        <v>1008.99297</v>
      </c>
      <c r="P1478" s="28">
        <v>991.00702999999999</v>
      </c>
    </row>
    <row r="1479" spans="1:16" x14ac:dyDescent="0.25">
      <c r="A1479" s="41">
        <v>5</v>
      </c>
      <c r="B1479" s="41">
        <v>217</v>
      </c>
      <c r="C1479" s="28">
        <v>16.9893945</v>
      </c>
      <c r="D1479" s="28">
        <v>7.9288260499999996</v>
      </c>
      <c r="E1479" s="28">
        <v>33.990434200000003</v>
      </c>
      <c r="F1479" s="28">
        <v>27.088623900000002</v>
      </c>
      <c r="G1479" s="28">
        <v>21.382671500000001</v>
      </c>
      <c r="H1479" s="28">
        <v>83.345952400000002</v>
      </c>
      <c r="I1479" s="28">
        <v>67.644801700000002</v>
      </c>
      <c r="J1479" s="28">
        <v>997.57063900000003</v>
      </c>
      <c r="K1479" s="28">
        <v>946.45680000000004</v>
      </c>
      <c r="L1479" s="42">
        <v>5.7976159799999998</v>
      </c>
      <c r="M1479" s="28">
        <v>139.85800699999999</v>
      </c>
      <c r="N1479" s="28">
        <v>1658.8624</v>
      </c>
      <c r="O1479" s="28">
        <v>1040.32926</v>
      </c>
      <c r="P1479" s="28">
        <v>959.67074000000002</v>
      </c>
    </row>
    <row r="1480" spans="1:16" x14ac:dyDescent="0.25">
      <c r="A1480" s="41">
        <v>5</v>
      </c>
      <c r="B1480" s="41">
        <v>218</v>
      </c>
      <c r="C1480" s="28">
        <v>16.826220500000002</v>
      </c>
      <c r="D1480" s="28">
        <v>7.9058812100000004</v>
      </c>
      <c r="E1480" s="28">
        <v>34.242083999999998</v>
      </c>
      <c r="F1480" s="28">
        <v>27.151687500000001</v>
      </c>
      <c r="G1480" s="28">
        <v>21.380022400000001</v>
      </c>
      <c r="H1480" s="28">
        <v>83.228010299999994</v>
      </c>
      <c r="I1480" s="28">
        <v>67.576454799999993</v>
      </c>
      <c r="J1480" s="28">
        <v>996.79192899999998</v>
      </c>
      <c r="K1480" s="28">
        <v>938.63049699999999</v>
      </c>
      <c r="L1480" s="42">
        <v>5.7701041000000002</v>
      </c>
      <c r="M1480" s="28">
        <v>140.03004899999999</v>
      </c>
      <c r="N1480" s="28">
        <v>1687.62114</v>
      </c>
      <c r="O1480" s="28">
        <v>1035.3924999999999</v>
      </c>
      <c r="P1480" s="28">
        <v>964.60749999999996</v>
      </c>
    </row>
    <row r="1481" spans="1:16" x14ac:dyDescent="0.25">
      <c r="A1481" s="41">
        <v>5</v>
      </c>
      <c r="B1481" s="41">
        <v>219</v>
      </c>
      <c r="C1481" s="28">
        <v>16.9658579</v>
      </c>
      <c r="D1481" s="28">
        <v>7.9046968</v>
      </c>
      <c r="E1481" s="28">
        <v>34.583873699999998</v>
      </c>
      <c r="F1481" s="28">
        <v>27.006608700000001</v>
      </c>
      <c r="G1481" s="28">
        <v>21.436755600000001</v>
      </c>
      <c r="H1481" s="28">
        <v>83.725495800000004</v>
      </c>
      <c r="I1481" s="28">
        <v>67.3262067</v>
      </c>
      <c r="J1481" s="28">
        <v>996.95889299999999</v>
      </c>
      <c r="K1481" s="28">
        <v>938.728024</v>
      </c>
      <c r="L1481" s="42">
        <v>5.7926692500000003</v>
      </c>
      <c r="M1481" s="28">
        <v>140.40185199999999</v>
      </c>
      <c r="N1481" s="28">
        <v>1682.28476</v>
      </c>
      <c r="O1481" s="28">
        <v>1039.4416100000001</v>
      </c>
      <c r="P1481" s="28">
        <v>960.55839000000003</v>
      </c>
    </row>
    <row r="1482" spans="1:16" x14ac:dyDescent="0.25">
      <c r="A1482" s="41">
        <v>5</v>
      </c>
      <c r="B1482" s="41">
        <v>220</v>
      </c>
      <c r="C1482" s="28">
        <v>16.929902299999998</v>
      </c>
      <c r="D1482" s="28">
        <v>7.9343627799999998</v>
      </c>
      <c r="E1482" s="28">
        <v>34.084918799999997</v>
      </c>
      <c r="F1482" s="28">
        <v>26.919264699999999</v>
      </c>
      <c r="G1482" s="28">
        <v>21.5002943</v>
      </c>
      <c r="H1482" s="28">
        <v>82.839868899999999</v>
      </c>
      <c r="I1482" s="28">
        <v>68.582271700000007</v>
      </c>
      <c r="J1482" s="28">
        <v>996.84090500000002</v>
      </c>
      <c r="K1482" s="28">
        <v>940.54692499999999</v>
      </c>
      <c r="L1482" s="42">
        <v>5.7319780299999996</v>
      </c>
      <c r="M1482" s="28">
        <v>140.59520800000001</v>
      </c>
      <c r="N1482" s="28">
        <v>1698.4231600000001</v>
      </c>
      <c r="O1482" s="28">
        <v>1028.5511300000001</v>
      </c>
      <c r="P1482" s="28">
        <v>971.44887000000006</v>
      </c>
    </row>
    <row r="1483" spans="1:16" x14ac:dyDescent="0.25">
      <c r="A1483" s="41">
        <v>5</v>
      </c>
      <c r="B1483" s="41">
        <v>221</v>
      </c>
      <c r="C1483" s="28">
        <v>16.938828000000001</v>
      </c>
      <c r="D1483" s="28">
        <v>7.9034972999999997</v>
      </c>
      <c r="E1483" s="28">
        <v>34.2098546</v>
      </c>
      <c r="F1483" s="28">
        <v>26.5216341</v>
      </c>
      <c r="G1483" s="28">
        <v>21.859181199999998</v>
      </c>
      <c r="H1483" s="28">
        <v>82.558542500000001</v>
      </c>
      <c r="I1483" s="28">
        <v>69.594036900000006</v>
      </c>
      <c r="J1483" s="28">
        <v>997.04629499999999</v>
      </c>
      <c r="K1483" s="28">
        <v>936.84973300000001</v>
      </c>
      <c r="L1483" s="42">
        <v>5.6292834999999997</v>
      </c>
      <c r="M1483" s="28">
        <v>140.36553699999999</v>
      </c>
      <c r="N1483" s="28">
        <v>1666.66705</v>
      </c>
      <c r="O1483" s="28">
        <v>1010.12353</v>
      </c>
      <c r="P1483" s="28">
        <v>989.87647000000004</v>
      </c>
    </row>
    <row r="1484" spans="1:16" x14ac:dyDescent="0.25">
      <c r="A1484" s="41">
        <v>5</v>
      </c>
      <c r="B1484" s="41">
        <v>222</v>
      </c>
      <c r="C1484" s="28">
        <v>16.884526999999999</v>
      </c>
      <c r="D1484" s="28">
        <v>7.8718155100000002</v>
      </c>
      <c r="E1484" s="28">
        <v>34.334735700000003</v>
      </c>
      <c r="F1484" s="28">
        <v>26.5328245</v>
      </c>
      <c r="G1484" s="28">
        <v>22.311206200000001</v>
      </c>
      <c r="H1484" s="28">
        <v>82.467936300000005</v>
      </c>
      <c r="I1484" s="28">
        <v>70.514791500000001</v>
      </c>
      <c r="J1484" s="28">
        <v>996.40499799999998</v>
      </c>
      <c r="K1484" s="28">
        <v>943.522696</v>
      </c>
      <c r="L1484" s="42">
        <v>5.55392683</v>
      </c>
      <c r="M1484" s="28">
        <v>141.13901799999999</v>
      </c>
      <c r="N1484" s="28">
        <v>1656.5532000000001</v>
      </c>
      <c r="O1484" s="28">
        <v>996.60145999999997</v>
      </c>
      <c r="P1484" s="28">
        <v>1003.39854</v>
      </c>
    </row>
    <row r="1485" spans="1:16" x14ac:dyDescent="0.25">
      <c r="A1485" s="41">
        <v>5</v>
      </c>
      <c r="B1485" s="41">
        <v>223</v>
      </c>
      <c r="C1485" s="28">
        <v>16.8376476</v>
      </c>
      <c r="D1485" s="28">
        <v>7.8996031999999996</v>
      </c>
      <c r="E1485" s="28">
        <v>34.155622100000002</v>
      </c>
      <c r="F1485" s="28">
        <v>26.321100600000001</v>
      </c>
      <c r="G1485" s="28">
        <v>22.323755899999998</v>
      </c>
      <c r="H1485" s="28">
        <v>80.852258500000005</v>
      </c>
      <c r="I1485" s="28">
        <v>70.988496900000001</v>
      </c>
      <c r="J1485" s="28">
        <v>996.81759399999999</v>
      </c>
      <c r="K1485" s="28">
        <v>942.28732200000002</v>
      </c>
      <c r="L1485" s="42">
        <v>5.5289284500000004</v>
      </c>
      <c r="M1485" s="28">
        <v>141.231054</v>
      </c>
      <c r="N1485" s="28">
        <v>1668.2601</v>
      </c>
      <c r="O1485" s="28">
        <v>992.11572999999999</v>
      </c>
      <c r="P1485" s="28">
        <v>1007.88427</v>
      </c>
    </row>
    <row r="1486" spans="1:16" x14ac:dyDescent="0.25">
      <c r="A1486" s="41">
        <v>5</v>
      </c>
      <c r="B1486" s="41">
        <v>224</v>
      </c>
      <c r="C1486" s="28">
        <v>16.9120943</v>
      </c>
      <c r="D1486" s="28">
        <v>7.9093541399999996</v>
      </c>
      <c r="E1486" s="28">
        <v>34.431275100000001</v>
      </c>
      <c r="F1486" s="28">
        <v>26.530746000000001</v>
      </c>
      <c r="G1486" s="28">
        <v>22.3186052</v>
      </c>
      <c r="H1486" s="28">
        <v>81.272661299999996</v>
      </c>
      <c r="I1486" s="28">
        <v>70.034847400000004</v>
      </c>
      <c r="J1486" s="28">
        <v>996.20475399999998</v>
      </c>
      <c r="K1486" s="28">
        <v>938.72381700000005</v>
      </c>
      <c r="L1486" s="42">
        <v>5.5787030199999998</v>
      </c>
      <c r="M1486" s="28">
        <v>142.24639400000001</v>
      </c>
      <c r="N1486" s="28">
        <v>1643.9444900000001</v>
      </c>
      <c r="O1486" s="28">
        <v>1001.04732</v>
      </c>
      <c r="P1486" s="28">
        <v>998.95267999999999</v>
      </c>
    </row>
    <row r="1487" spans="1:16" x14ac:dyDescent="0.25">
      <c r="A1487" s="41">
        <v>5</v>
      </c>
      <c r="B1487" s="41">
        <v>225</v>
      </c>
      <c r="C1487" s="28">
        <v>16.973058699999999</v>
      </c>
      <c r="D1487" s="28">
        <v>7.8166636399999998</v>
      </c>
      <c r="E1487" s="28">
        <v>34.403578400000001</v>
      </c>
      <c r="F1487" s="28">
        <v>26.554581899999999</v>
      </c>
      <c r="G1487" s="28">
        <v>22.057530799999999</v>
      </c>
      <c r="H1487" s="28">
        <v>80.888899100000003</v>
      </c>
      <c r="I1487" s="28">
        <v>69.638854300000006</v>
      </c>
      <c r="J1487" s="28">
        <v>997.57651799999996</v>
      </c>
      <c r="K1487" s="28">
        <v>936.79854899999998</v>
      </c>
      <c r="L1487" s="42">
        <v>5.6922944400000004</v>
      </c>
      <c r="M1487" s="28">
        <v>141.48776799999999</v>
      </c>
      <c r="N1487" s="28">
        <v>1651.8082099999999</v>
      </c>
      <c r="O1487" s="28">
        <v>1021.43027</v>
      </c>
      <c r="P1487" s="28">
        <v>978.56973000000005</v>
      </c>
    </row>
    <row r="1488" spans="1:16" x14ac:dyDescent="0.25">
      <c r="A1488" s="41">
        <v>5</v>
      </c>
      <c r="B1488" s="41">
        <v>226</v>
      </c>
      <c r="C1488" s="28">
        <v>17.070342199999999</v>
      </c>
      <c r="D1488" s="28">
        <v>7.7838155200000001</v>
      </c>
      <c r="E1488" s="28">
        <v>33.907252100000001</v>
      </c>
      <c r="F1488" s="28">
        <v>26.4774265</v>
      </c>
      <c r="G1488" s="28">
        <v>21.788286800000002</v>
      </c>
      <c r="H1488" s="28">
        <v>80.8063121</v>
      </c>
      <c r="I1488" s="28">
        <v>70.340508900000003</v>
      </c>
      <c r="J1488" s="28">
        <v>998.28708300000005</v>
      </c>
      <c r="K1488" s="28">
        <v>938.18771100000004</v>
      </c>
      <c r="L1488" s="42">
        <v>5.6347693699999999</v>
      </c>
      <c r="M1488" s="28">
        <v>141.64423600000001</v>
      </c>
      <c r="N1488" s="28">
        <v>1641.5141900000001</v>
      </c>
      <c r="O1488" s="28">
        <v>1011.10792</v>
      </c>
      <c r="P1488" s="28">
        <v>988.89207999999996</v>
      </c>
    </row>
    <row r="1489" spans="1:16" x14ac:dyDescent="0.25">
      <c r="A1489" s="41">
        <v>5</v>
      </c>
      <c r="B1489" s="41">
        <v>227</v>
      </c>
      <c r="C1489" s="28">
        <v>17.081771199999999</v>
      </c>
      <c r="D1489" s="28">
        <v>7.7723163099999999</v>
      </c>
      <c r="E1489" s="28">
        <v>33.5424869</v>
      </c>
      <c r="F1489" s="28">
        <v>26.2217646</v>
      </c>
      <c r="G1489" s="28">
        <v>21.814118199999999</v>
      </c>
      <c r="H1489" s="28">
        <v>80.070490800000002</v>
      </c>
      <c r="I1489" s="28">
        <v>69.976157200000003</v>
      </c>
      <c r="J1489" s="28">
        <v>999.31282999999996</v>
      </c>
      <c r="K1489" s="28">
        <v>941.44977600000004</v>
      </c>
      <c r="L1489" s="42">
        <v>5.5651733200000004</v>
      </c>
      <c r="M1489" s="28">
        <v>140.84401700000001</v>
      </c>
      <c r="N1489" s="28">
        <v>1625.0083099999999</v>
      </c>
      <c r="O1489" s="28">
        <v>998.61954000000003</v>
      </c>
      <c r="P1489" s="28">
        <v>1001.38046</v>
      </c>
    </row>
    <row r="1490" spans="1:16" x14ac:dyDescent="0.25">
      <c r="A1490" s="41">
        <v>5</v>
      </c>
      <c r="B1490" s="41">
        <v>228</v>
      </c>
      <c r="C1490" s="28">
        <v>17.091132000000002</v>
      </c>
      <c r="D1490" s="28">
        <v>7.82073106</v>
      </c>
      <c r="E1490" s="28">
        <v>33.705095300000004</v>
      </c>
      <c r="F1490" s="28">
        <v>26.0551797</v>
      </c>
      <c r="G1490" s="28">
        <v>21.914732600000001</v>
      </c>
      <c r="H1490" s="28">
        <v>78.413827100000006</v>
      </c>
      <c r="I1490" s="28">
        <v>70.837169000000003</v>
      </c>
      <c r="J1490" s="28">
        <v>998.39489200000003</v>
      </c>
      <c r="K1490" s="28">
        <v>951.44034999999997</v>
      </c>
      <c r="L1490" s="42">
        <v>5.5683804300000004</v>
      </c>
      <c r="M1490" s="28">
        <v>141.00090399999999</v>
      </c>
      <c r="N1490" s="28">
        <v>1648.27826</v>
      </c>
      <c r="O1490" s="28">
        <v>999.19502999999997</v>
      </c>
      <c r="P1490" s="28">
        <v>1000.80497</v>
      </c>
    </row>
    <row r="1491" spans="1:16" x14ac:dyDescent="0.25">
      <c r="A1491" s="41">
        <v>5</v>
      </c>
      <c r="B1491" s="41">
        <v>229</v>
      </c>
      <c r="C1491" s="28">
        <v>17.154255800000001</v>
      </c>
      <c r="D1491" s="28">
        <v>7.7929226399999996</v>
      </c>
      <c r="E1491" s="28">
        <v>33.6079899</v>
      </c>
      <c r="F1491" s="28">
        <v>25.955714799999999</v>
      </c>
      <c r="G1491" s="28">
        <v>22.205540599999999</v>
      </c>
      <c r="H1491" s="28">
        <v>78.056493099999997</v>
      </c>
      <c r="I1491" s="28">
        <v>70.361127400000001</v>
      </c>
      <c r="J1491" s="28">
        <v>999.10146399999996</v>
      </c>
      <c r="K1491" s="28">
        <v>957.04625099999998</v>
      </c>
      <c r="L1491" s="42">
        <v>5.5571071200000004</v>
      </c>
      <c r="M1491" s="28">
        <v>140.63413700000001</v>
      </c>
      <c r="N1491" s="28">
        <v>1655.4764299999999</v>
      </c>
      <c r="O1491" s="28">
        <v>997.17214000000001</v>
      </c>
      <c r="P1491" s="28">
        <v>1002.82786</v>
      </c>
    </row>
    <row r="1492" spans="1:16" x14ac:dyDescent="0.25">
      <c r="A1492" s="41">
        <v>5</v>
      </c>
      <c r="B1492" s="41">
        <v>230</v>
      </c>
      <c r="C1492" s="28">
        <v>17.169760100000001</v>
      </c>
      <c r="D1492" s="28">
        <v>7.74360436</v>
      </c>
      <c r="E1492" s="28">
        <v>33.787482400000002</v>
      </c>
      <c r="F1492" s="28">
        <v>25.9295638</v>
      </c>
      <c r="G1492" s="28">
        <v>22.028164499999999</v>
      </c>
      <c r="H1492" s="28">
        <v>78.662679699999998</v>
      </c>
      <c r="I1492" s="28">
        <v>71.551157799999999</v>
      </c>
      <c r="J1492" s="28">
        <v>998.86220000000003</v>
      </c>
      <c r="K1492" s="28">
        <v>952.27919899999995</v>
      </c>
      <c r="L1492" s="42">
        <v>5.5367950800000001</v>
      </c>
      <c r="M1492" s="28">
        <v>140.995194</v>
      </c>
      <c r="N1492" s="28">
        <v>1678.83807</v>
      </c>
      <c r="O1492" s="28">
        <v>993.52733000000001</v>
      </c>
      <c r="P1492" s="28">
        <v>1006.47267</v>
      </c>
    </row>
    <row r="1493" spans="1:16" x14ac:dyDescent="0.25">
      <c r="A1493" s="41">
        <v>5</v>
      </c>
      <c r="B1493" s="41">
        <v>231</v>
      </c>
      <c r="C1493" s="28">
        <v>17.154569800000001</v>
      </c>
      <c r="D1493" s="28">
        <v>7.7831844300000004</v>
      </c>
      <c r="E1493" s="28">
        <v>33.689292000000002</v>
      </c>
      <c r="F1493" s="28">
        <v>25.8659611</v>
      </c>
      <c r="G1493" s="28">
        <v>21.7441833</v>
      </c>
      <c r="H1493" s="28">
        <v>78.766571299999995</v>
      </c>
      <c r="I1493" s="28">
        <v>71.384966700000007</v>
      </c>
      <c r="J1493" s="28">
        <v>999.09850500000005</v>
      </c>
      <c r="K1493" s="28">
        <v>956.88216499999999</v>
      </c>
      <c r="L1493" s="42">
        <v>5.59726123</v>
      </c>
      <c r="M1493" s="28">
        <v>140.58228199999999</v>
      </c>
      <c r="N1493" s="28">
        <v>1658.12022</v>
      </c>
      <c r="O1493" s="28">
        <v>1004.37743</v>
      </c>
      <c r="P1493" s="28">
        <v>995.62257</v>
      </c>
    </row>
    <row r="1494" spans="1:16" x14ac:dyDescent="0.25">
      <c r="A1494" s="41">
        <v>5</v>
      </c>
      <c r="B1494" s="41">
        <v>232</v>
      </c>
      <c r="C1494" s="28">
        <v>17.053581399999999</v>
      </c>
      <c r="D1494" s="28">
        <v>7.7314920200000001</v>
      </c>
      <c r="E1494" s="28">
        <v>33.221259600000003</v>
      </c>
      <c r="F1494" s="28">
        <v>25.805942999999999</v>
      </c>
      <c r="G1494" s="28">
        <v>21.687907299999999</v>
      </c>
      <c r="H1494" s="28">
        <v>78.881773600000002</v>
      </c>
      <c r="I1494" s="28">
        <v>71.054732599999994</v>
      </c>
      <c r="J1494" s="28">
        <v>999.87165400000004</v>
      </c>
      <c r="K1494" s="28">
        <v>960.11284699999999</v>
      </c>
      <c r="L1494" s="42">
        <v>5.5256628499999998</v>
      </c>
      <c r="M1494" s="28">
        <v>140.00652500000001</v>
      </c>
      <c r="N1494" s="28">
        <v>1653.92526</v>
      </c>
      <c r="O1494" s="28">
        <v>991.52975000000004</v>
      </c>
      <c r="P1494" s="28">
        <v>1008.47025</v>
      </c>
    </row>
    <row r="1495" spans="1:16" x14ac:dyDescent="0.25">
      <c r="A1495" s="41">
        <v>5</v>
      </c>
      <c r="B1495" s="41">
        <v>233</v>
      </c>
      <c r="C1495" s="28">
        <v>17.313840599999999</v>
      </c>
      <c r="D1495" s="28">
        <v>7.7682406999999998</v>
      </c>
      <c r="E1495" s="28">
        <v>33.2549353</v>
      </c>
      <c r="F1495" s="28">
        <v>25.871856999999999</v>
      </c>
      <c r="G1495" s="28">
        <v>21.654853599999999</v>
      </c>
      <c r="H1495" s="28">
        <v>79.903118500000005</v>
      </c>
      <c r="I1495" s="28">
        <v>70.724514900000003</v>
      </c>
      <c r="J1495" s="28">
        <v>1000.16341</v>
      </c>
      <c r="K1495" s="28">
        <v>961.51906799999995</v>
      </c>
      <c r="L1495" s="42">
        <v>5.4242256900000001</v>
      </c>
      <c r="M1495" s="28">
        <v>140.72500099999999</v>
      </c>
      <c r="N1495" s="28">
        <v>1658.8939700000001</v>
      </c>
      <c r="O1495" s="28">
        <v>973.32777999999996</v>
      </c>
      <c r="P1495" s="28">
        <v>1026.6722199999999</v>
      </c>
    </row>
    <row r="1496" spans="1:16" x14ac:dyDescent="0.25">
      <c r="A1496" s="41">
        <v>5</v>
      </c>
      <c r="B1496" s="41">
        <v>234</v>
      </c>
      <c r="C1496" s="28">
        <v>17.446539000000001</v>
      </c>
      <c r="D1496" s="28">
        <v>7.7342395000000002</v>
      </c>
      <c r="E1496" s="28">
        <v>33.1291236</v>
      </c>
      <c r="F1496" s="28">
        <v>25.662590900000001</v>
      </c>
      <c r="G1496" s="28">
        <v>22.091494900000001</v>
      </c>
      <c r="H1496" s="28">
        <v>80.500375099999999</v>
      </c>
      <c r="I1496" s="28">
        <v>72.626373799999996</v>
      </c>
      <c r="J1496" s="28">
        <v>1000.1304699999999</v>
      </c>
      <c r="K1496" s="28">
        <v>955.81714499999998</v>
      </c>
      <c r="L1496" s="42">
        <v>5.3840412100000004</v>
      </c>
      <c r="M1496" s="28">
        <v>141.67010500000001</v>
      </c>
      <c r="N1496" s="28">
        <v>1652.40284</v>
      </c>
      <c r="O1496" s="28">
        <v>966.11703999999997</v>
      </c>
      <c r="P1496" s="28">
        <v>1033.8829599999999</v>
      </c>
    </row>
    <row r="1497" spans="1:16" x14ac:dyDescent="0.25">
      <c r="A1497" s="41">
        <v>5</v>
      </c>
      <c r="B1497" s="41">
        <v>235</v>
      </c>
      <c r="C1497" s="28">
        <v>17.470414999999999</v>
      </c>
      <c r="D1497" s="28">
        <v>7.6949961900000003</v>
      </c>
      <c r="E1497" s="28">
        <v>33.423636799999997</v>
      </c>
      <c r="F1497" s="28">
        <v>25.7148638</v>
      </c>
      <c r="G1497" s="28">
        <v>21.950658600000001</v>
      </c>
      <c r="H1497" s="28">
        <v>80.363544399999995</v>
      </c>
      <c r="I1497" s="28">
        <v>71.233925900000003</v>
      </c>
      <c r="J1497" s="28">
        <v>1000.56994</v>
      </c>
      <c r="K1497" s="28">
        <v>961.05936499999996</v>
      </c>
      <c r="L1497" s="42">
        <v>5.2925497000000004</v>
      </c>
      <c r="M1497" s="28">
        <v>141.708292</v>
      </c>
      <c r="N1497" s="28">
        <v>1675.89032</v>
      </c>
      <c r="O1497" s="28">
        <v>949.69971999999996</v>
      </c>
      <c r="P1497" s="28">
        <v>1050.3002799999999</v>
      </c>
    </row>
    <row r="1498" spans="1:16" x14ac:dyDescent="0.25">
      <c r="A1498" s="41">
        <v>5</v>
      </c>
      <c r="B1498" s="41">
        <v>236</v>
      </c>
      <c r="C1498" s="28">
        <v>17.5158503</v>
      </c>
      <c r="D1498" s="28">
        <v>7.6995895399999998</v>
      </c>
      <c r="E1498" s="28">
        <v>33.377616400000001</v>
      </c>
      <c r="F1498" s="28">
        <v>25.671185000000001</v>
      </c>
      <c r="G1498" s="28">
        <v>22.058603399999999</v>
      </c>
      <c r="H1498" s="28">
        <v>80.4988326</v>
      </c>
      <c r="I1498" s="28">
        <v>71.876472300000003</v>
      </c>
      <c r="J1498" s="28">
        <v>1000.4073100000001</v>
      </c>
      <c r="K1498" s="28">
        <v>964.17858000000001</v>
      </c>
      <c r="L1498" s="42">
        <v>5.3125250099999999</v>
      </c>
      <c r="M1498" s="28">
        <v>141.454196</v>
      </c>
      <c r="N1498" s="28">
        <v>1685.02504</v>
      </c>
      <c r="O1498" s="28">
        <v>953.28411000000006</v>
      </c>
      <c r="P1498" s="28">
        <v>1046.7158899999999</v>
      </c>
    </row>
    <row r="1499" spans="1:16" x14ac:dyDescent="0.25">
      <c r="A1499" s="41">
        <v>5</v>
      </c>
      <c r="B1499" s="41">
        <v>237</v>
      </c>
      <c r="C1499" s="28">
        <v>17.444520499999999</v>
      </c>
      <c r="D1499" s="28">
        <v>7.74562068</v>
      </c>
      <c r="E1499" s="28">
        <v>33.505796500000002</v>
      </c>
      <c r="F1499" s="28">
        <v>25.730880200000001</v>
      </c>
      <c r="G1499" s="28">
        <v>22.124329199999998</v>
      </c>
      <c r="H1499" s="28">
        <v>81.128780500000005</v>
      </c>
      <c r="I1499" s="28">
        <v>71.072169500000001</v>
      </c>
      <c r="J1499" s="28">
        <v>1000.08952</v>
      </c>
      <c r="K1499" s="28">
        <v>968.00820699999997</v>
      </c>
      <c r="L1499" s="42">
        <v>5.3010834300000003</v>
      </c>
      <c r="M1499" s="28">
        <v>142.01384400000001</v>
      </c>
      <c r="N1499" s="28">
        <v>1682.20532</v>
      </c>
      <c r="O1499" s="28">
        <v>951.23101999999994</v>
      </c>
      <c r="P1499" s="28">
        <v>1048.7689800000001</v>
      </c>
    </row>
    <row r="1500" spans="1:16" x14ac:dyDescent="0.25">
      <c r="A1500" s="41">
        <v>5</v>
      </c>
      <c r="B1500" s="41">
        <v>238</v>
      </c>
      <c r="C1500" s="28">
        <v>17.446519500000001</v>
      </c>
      <c r="D1500" s="28">
        <v>7.8169755800000003</v>
      </c>
      <c r="E1500" s="28">
        <v>33.518188799999997</v>
      </c>
      <c r="F1500" s="28">
        <v>26.1560326</v>
      </c>
      <c r="G1500" s="28">
        <v>22.1500235</v>
      </c>
      <c r="H1500" s="28">
        <v>83.162149200000002</v>
      </c>
      <c r="I1500" s="28">
        <v>69.857989399999994</v>
      </c>
      <c r="J1500" s="28">
        <v>999.56037700000002</v>
      </c>
      <c r="K1500" s="28">
        <v>966.79168200000004</v>
      </c>
      <c r="L1500" s="42">
        <v>5.2883045400000004</v>
      </c>
      <c r="M1500" s="28">
        <v>142.61176399999999</v>
      </c>
      <c r="N1500" s="28">
        <v>1657.66194</v>
      </c>
      <c r="O1500" s="28">
        <v>948.93796999999995</v>
      </c>
      <c r="P1500" s="28">
        <v>1051.06203</v>
      </c>
    </row>
    <row r="1501" spans="1:16" x14ac:dyDescent="0.25">
      <c r="A1501" s="41">
        <v>5</v>
      </c>
      <c r="B1501" s="41">
        <v>239</v>
      </c>
      <c r="C1501" s="28">
        <v>17.454253399999999</v>
      </c>
      <c r="D1501" s="28">
        <v>7.9062640200000001</v>
      </c>
      <c r="E1501" s="28">
        <v>33.4783179</v>
      </c>
      <c r="F1501" s="28">
        <v>26.337797299999998</v>
      </c>
      <c r="G1501" s="28">
        <v>22.281748199999999</v>
      </c>
      <c r="H1501" s="28">
        <v>82.623486200000002</v>
      </c>
      <c r="I1501" s="28">
        <v>69.909124599999998</v>
      </c>
      <c r="J1501" s="28">
        <v>999.22451999999998</v>
      </c>
      <c r="K1501" s="28">
        <v>968.72678199999996</v>
      </c>
      <c r="L1501" s="42">
        <v>5.2621170199999998</v>
      </c>
      <c r="M1501" s="28">
        <v>143.89540199999999</v>
      </c>
      <c r="N1501" s="28">
        <v>1626.6484399999999</v>
      </c>
      <c r="O1501" s="28">
        <v>944.23886000000005</v>
      </c>
      <c r="P1501" s="28">
        <v>1055.7611400000001</v>
      </c>
    </row>
    <row r="1502" spans="1:16" x14ac:dyDescent="0.25">
      <c r="A1502" s="41">
        <v>5</v>
      </c>
      <c r="B1502" s="41">
        <v>240</v>
      </c>
      <c r="C1502" s="28">
        <v>17.532223399999999</v>
      </c>
      <c r="D1502" s="28">
        <v>7.8815150200000001</v>
      </c>
      <c r="E1502" s="28">
        <v>34.008793900000001</v>
      </c>
      <c r="F1502" s="28">
        <v>26.291111099999998</v>
      </c>
      <c r="G1502" s="28">
        <v>22.349599399999999</v>
      </c>
      <c r="H1502" s="28">
        <v>80.881615499999995</v>
      </c>
      <c r="I1502" s="28">
        <v>69.2994956</v>
      </c>
      <c r="J1502" s="28">
        <v>998.863111</v>
      </c>
      <c r="K1502" s="28">
        <v>972.04211199999997</v>
      </c>
      <c r="L1502" s="42">
        <v>5.2665327900000003</v>
      </c>
      <c r="M1502" s="28">
        <v>144.113249</v>
      </c>
      <c r="N1502" s="28">
        <v>1623.5105900000001</v>
      </c>
      <c r="O1502" s="28">
        <v>945.03123000000005</v>
      </c>
      <c r="P1502" s="28">
        <v>1054.9687699999999</v>
      </c>
    </row>
    <row r="1503" spans="1:16" x14ac:dyDescent="0.25">
      <c r="A1503" s="41">
        <v>5</v>
      </c>
      <c r="B1503" s="41">
        <v>241</v>
      </c>
      <c r="C1503" s="28">
        <v>17.471167000000001</v>
      </c>
      <c r="D1503" s="28">
        <v>7.8513975</v>
      </c>
      <c r="E1503" s="28">
        <v>33.383249399999997</v>
      </c>
      <c r="F1503" s="28">
        <v>26.309093399999998</v>
      </c>
      <c r="G1503" s="28">
        <v>22.413085599999999</v>
      </c>
      <c r="H1503" s="28">
        <v>81.811346499999999</v>
      </c>
      <c r="I1503" s="28">
        <v>69.125551599999994</v>
      </c>
      <c r="J1503" s="28">
        <v>1000.04895</v>
      </c>
      <c r="K1503" s="28">
        <v>971.34213899999997</v>
      </c>
      <c r="L1503" s="42">
        <v>5.3292394500000002</v>
      </c>
      <c r="M1503" s="28">
        <v>144.32463999999999</v>
      </c>
      <c r="N1503" s="28">
        <v>1629.7145499999999</v>
      </c>
      <c r="O1503" s="28">
        <v>956.28336000000002</v>
      </c>
      <c r="P1503" s="28">
        <v>1043.7166400000001</v>
      </c>
    </row>
    <row r="1504" spans="1:16" x14ac:dyDescent="0.25">
      <c r="A1504" s="41">
        <v>5</v>
      </c>
      <c r="B1504" s="41">
        <v>242</v>
      </c>
      <c r="C1504" s="28">
        <v>17.564724099999999</v>
      </c>
      <c r="D1504" s="28">
        <v>7.8834784300000003</v>
      </c>
      <c r="E1504" s="28">
        <v>33.4971143</v>
      </c>
      <c r="F1504" s="28">
        <v>26.636548099999999</v>
      </c>
      <c r="G1504" s="28">
        <v>22.831127899999998</v>
      </c>
      <c r="H1504" s="28">
        <v>83.073661599999994</v>
      </c>
      <c r="I1504" s="28">
        <v>69.611720500000004</v>
      </c>
      <c r="J1504" s="28">
        <v>999.513192</v>
      </c>
      <c r="K1504" s="28">
        <v>973.80109400000003</v>
      </c>
      <c r="L1504" s="42">
        <v>5.3713529900000001</v>
      </c>
      <c r="M1504" s="28">
        <v>144.817542</v>
      </c>
      <c r="N1504" s="28">
        <v>1620.9287999999999</v>
      </c>
      <c r="O1504" s="28">
        <v>963.84024999999997</v>
      </c>
      <c r="P1504" s="28">
        <v>1036.15975</v>
      </c>
    </row>
    <row r="1505" spans="1:16" x14ac:dyDescent="0.25">
      <c r="A1505" s="41">
        <v>5</v>
      </c>
      <c r="B1505" s="41">
        <v>243</v>
      </c>
      <c r="C1505" s="28">
        <v>17.6107631</v>
      </c>
      <c r="D1505" s="28">
        <v>7.8835785700000001</v>
      </c>
      <c r="E1505" s="28">
        <v>33.358527600000002</v>
      </c>
      <c r="F1505" s="28">
        <v>26.704363799999999</v>
      </c>
      <c r="G1505" s="28">
        <v>23.204003799999999</v>
      </c>
      <c r="H1505" s="28">
        <v>83.909988600000005</v>
      </c>
      <c r="I1505" s="28">
        <v>71.499728500000003</v>
      </c>
      <c r="J1505" s="28">
        <v>999.57924200000002</v>
      </c>
      <c r="K1505" s="28">
        <v>973.16938300000004</v>
      </c>
      <c r="L1505" s="42">
        <v>5.4101300999999999</v>
      </c>
      <c r="M1505" s="28">
        <v>145.59417199999999</v>
      </c>
      <c r="N1505" s="28">
        <v>1636.90299</v>
      </c>
      <c r="O1505" s="28">
        <v>970.79845</v>
      </c>
      <c r="P1505" s="28">
        <v>1029.20155</v>
      </c>
    </row>
    <row r="1506" spans="1:16" x14ac:dyDescent="0.25">
      <c r="A1506" s="41">
        <v>5</v>
      </c>
      <c r="B1506" s="41">
        <v>244</v>
      </c>
      <c r="C1506" s="28">
        <v>17.584908599999999</v>
      </c>
      <c r="D1506" s="28">
        <v>7.9361397499999997</v>
      </c>
      <c r="E1506" s="28">
        <v>33.325880499999997</v>
      </c>
      <c r="F1506" s="28">
        <v>26.622348800000001</v>
      </c>
      <c r="G1506" s="28">
        <v>23.2664686</v>
      </c>
      <c r="H1506" s="28">
        <v>86.671711999999999</v>
      </c>
      <c r="I1506" s="28">
        <v>71.488644699999995</v>
      </c>
      <c r="J1506" s="28">
        <v>998.96789699999999</v>
      </c>
      <c r="K1506" s="28">
        <v>979.198804</v>
      </c>
      <c r="L1506" s="42">
        <v>5.3122618900000003</v>
      </c>
      <c r="M1506" s="28">
        <v>145.514295</v>
      </c>
      <c r="N1506" s="28">
        <v>1640.05845</v>
      </c>
      <c r="O1506" s="28">
        <v>953.23689999999999</v>
      </c>
      <c r="P1506" s="28">
        <v>1046.7630999999999</v>
      </c>
    </row>
    <row r="1507" spans="1:16" x14ac:dyDescent="0.25">
      <c r="A1507" s="41">
        <v>5</v>
      </c>
      <c r="B1507" s="41">
        <v>245</v>
      </c>
      <c r="C1507" s="28">
        <v>17.437918499999999</v>
      </c>
      <c r="D1507" s="28">
        <v>7.9429796699999997</v>
      </c>
      <c r="E1507" s="28">
        <v>33.233400799999998</v>
      </c>
      <c r="F1507" s="28">
        <v>26.496927400000001</v>
      </c>
      <c r="G1507" s="28">
        <v>23.0768804</v>
      </c>
      <c r="H1507" s="28">
        <v>86.677232500000002</v>
      </c>
      <c r="I1507" s="28">
        <v>70.990324000000001</v>
      </c>
      <c r="J1507" s="28">
        <v>999.15164000000004</v>
      </c>
      <c r="K1507" s="28">
        <v>974.86474199999998</v>
      </c>
      <c r="L1507" s="42">
        <v>5.2762098999999996</v>
      </c>
      <c r="M1507" s="28">
        <v>144.208924</v>
      </c>
      <c r="N1507" s="28">
        <v>1655.83609</v>
      </c>
      <c r="O1507" s="28">
        <v>946.76769999999999</v>
      </c>
      <c r="P1507" s="28">
        <v>1053.2322999999999</v>
      </c>
    </row>
    <row r="1508" spans="1:16" x14ac:dyDescent="0.25">
      <c r="A1508" s="41">
        <v>5</v>
      </c>
      <c r="B1508" s="41">
        <v>246</v>
      </c>
      <c r="C1508" s="28">
        <v>17.451036899999998</v>
      </c>
      <c r="D1508" s="28">
        <v>7.9683770100000002</v>
      </c>
      <c r="E1508" s="28">
        <v>32.980104699999998</v>
      </c>
      <c r="F1508" s="28">
        <v>26.692927000000001</v>
      </c>
      <c r="G1508" s="28">
        <v>23.431148499999999</v>
      </c>
      <c r="H1508" s="28">
        <v>86.103761399999996</v>
      </c>
      <c r="I1508" s="28">
        <v>71.019781699999996</v>
      </c>
      <c r="J1508" s="28">
        <v>999.34338500000001</v>
      </c>
      <c r="K1508" s="28">
        <v>965.97703000000001</v>
      </c>
      <c r="L1508" s="42">
        <v>5.2612462300000002</v>
      </c>
      <c r="M1508" s="28">
        <v>144.04040800000001</v>
      </c>
      <c r="N1508" s="28">
        <v>1658.3863200000001</v>
      </c>
      <c r="O1508" s="28">
        <v>944.08259999999996</v>
      </c>
      <c r="P1508" s="28">
        <v>1055.9174</v>
      </c>
    </row>
    <row r="1509" spans="1:16" x14ac:dyDescent="0.25">
      <c r="A1509" s="41">
        <v>5</v>
      </c>
      <c r="B1509" s="41">
        <v>247</v>
      </c>
      <c r="C1509" s="28">
        <v>17.524990299999999</v>
      </c>
      <c r="D1509" s="28">
        <v>7.9688762799999999</v>
      </c>
      <c r="E1509" s="28">
        <v>32.824097600000002</v>
      </c>
      <c r="F1509" s="28">
        <v>26.810688200000001</v>
      </c>
      <c r="G1509" s="28">
        <v>23.5539846</v>
      </c>
      <c r="H1509" s="28">
        <v>86.799250299999997</v>
      </c>
      <c r="I1509" s="28">
        <v>70.937033099999994</v>
      </c>
      <c r="J1509" s="28">
        <v>999.737574</v>
      </c>
      <c r="K1509" s="28">
        <v>974.31489499999998</v>
      </c>
      <c r="L1509" s="42">
        <v>5.30881867</v>
      </c>
      <c r="M1509" s="28">
        <v>144.93721600000001</v>
      </c>
      <c r="N1509" s="28">
        <v>1670.74109</v>
      </c>
      <c r="O1509" s="28">
        <v>952.61904000000004</v>
      </c>
      <c r="P1509" s="28">
        <v>1047.38096</v>
      </c>
    </row>
    <row r="1510" spans="1:16" x14ac:dyDescent="0.25">
      <c r="A1510" s="41">
        <v>5</v>
      </c>
      <c r="B1510" s="41">
        <v>248</v>
      </c>
      <c r="C1510" s="28">
        <v>17.5912243</v>
      </c>
      <c r="D1510" s="28">
        <v>7.9404380400000001</v>
      </c>
      <c r="E1510" s="28">
        <v>33.217301900000002</v>
      </c>
      <c r="F1510" s="28">
        <v>27.192857799999999</v>
      </c>
      <c r="G1510" s="28">
        <v>23.700586300000001</v>
      </c>
      <c r="H1510" s="28">
        <v>87.0399788</v>
      </c>
      <c r="I1510" s="28">
        <v>73.172274000000002</v>
      </c>
      <c r="J1510" s="28">
        <v>999.29050700000005</v>
      </c>
      <c r="K1510" s="28">
        <v>971.99404100000004</v>
      </c>
      <c r="L1510" s="42">
        <v>5.2903738799999998</v>
      </c>
      <c r="M1510" s="28">
        <v>147.19674499999999</v>
      </c>
      <c r="N1510" s="28">
        <v>1680.1213499999999</v>
      </c>
      <c r="O1510" s="28">
        <v>949.30929000000003</v>
      </c>
      <c r="P1510" s="28">
        <v>1050.6907100000001</v>
      </c>
    </row>
    <row r="1511" spans="1:16" x14ac:dyDescent="0.25">
      <c r="A1511" s="41">
        <v>5</v>
      </c>
      <c r="B1511" s="41">
        <v>249</v>
      </c>
      <c r="C1511" s="28">
        <v>17.5472815</v>
      </c>
      <c r="D1511" s="28">
        <v>7.9887632399999999</v>
      </c>
      <c r="E1511" s="28">
        <v>32.986570899999997</v>
      </c>
      <c r="F1511" s="28">
        <v>27.119364399999998</v>
      </c>
      <c r="G1511" s="28">
        <v>23.513352999999999</v>
      </c>
      <c r="H1511" s="28">
        <v>87.630868599999999</v>
      </c>
      <c r="I1511" s="28">
        <v>72.477106300000003</v>
      </c>
      <c r="J1511" s="28">
        <v>999.41526599999997</v>
      </c>
      <c r="K1511" s="28">
        <v>977.93497100000002</v>
      </c>
      <c r="L1511" s="42">
        <v>5.2322830500000004</v>
      </c>
      <c r="M1511" s="28">
        <v>148.038681</v>
      </c>
      <c r="N1511" s="28">
        <v>1690.8625199999999</v>
      </c>
      <c r="O1511" s="28">
        <v>938.88541999999995</v>
      </c>
      <c r="P1511" s="28">
        <v>1061.1145799999999</v>
      </c>
    </row>
    <row r="1512" spans="1:16" x14ac:dyDescent="0.25">
      <c r="A1512" s="41">
        <v>5</v>
      </c>
      <c r="B1512" s="41">
        <v>250</v>
      </c>
      <c r="C1512" s="28">
        <v>17.442746100000001</v>
      </c>
      <c r="D1512" s="28">
        <v>8.0507522599999994</v>
      </c>
      <c r="E1512" s="28">
        <v>33.019869399999997</v>
      </c>
      <c r="F1512" s="28">
        <v>27.2806648</v>
      </c>
      <c r="G1512" s="28">
        <v>23.2666775</v>
      </c>
      <c r="H1512" s="28">
        <v>87.764582899999994</v>
      </c>
      <c r="I1512" s="28">
        <v>72.916198100000003</v>
      </c>
      <c r="J1512" s="28">
        <v>998.92479200000002</v>
      </c>
      <c r="K1512" s="28">
        <v>978.22670200000005</v>
      </c>
      <c r="L1512" s="42">
        <v>5.16511502</v>
      </c>
      <c r="M1512" s="28">
        <v>148.067431</v>
      </c>
      <c r="N1512" s="28">
        <v>1659.0192</v>
      </c>
      <c r="O1512" s="28">
        <v>926.83272999999997</v>
      </c>
      <c r="P1512" s="28">
        <v>1073.1672699999999</v>
      </c>
    </row>
    <row r="1513" spans="1:16" x14ac:dyDescent="0.25">
      <c r="A1513" s="41">
        <v>5</v>
      </c>
      <c r="B1513" s="41">
        <v>251</v>
      </c>
      <c r="C1513" s="28">
        <v>17.517696399999998</v>
      </c>
      <c r="D1513" s="28">
        <v>8.0652329199999997</v>
      </c>
      <c r="E1513" s="28">
        <v>32.931647400000003</v>
      </c>
      <c r="F1513" s="28">
        <v>27.381459599999999</v>
      </c>
      <c r="G1513" s="28">
        <v>23.296979199999999</v>
      </c>
      <c r="H1513" s="28">
        <v>87.373176400000006</v>
      </c>
      <c r="I1513" s="28">
        <v>73.133555200000004</v>
      </c>
      <c r="J1513" s="28">
        <v>999.14779899999996</v>
      </c>
      <c r="K1513" s="28">
        <v>979.58778800000005</v>
      </c>
      <c r="L1513" s="42">
        <v>5.2332805499999999</v>
      </c>
      <c r="M1513" s="28">
        <v>148.56097399999999</v>
      </c>
      <c r="N1513" s="28">
        <v>1669.8284900000001</v>
      </c>
      <c r="O1513" s="28">
        <v>939.06442000000004</v>
      </c>
      <c r="P1513" s="28">
        <v>1060.9355800000001</v>
      </c>
    </row>
    <row r="1514" spans="1:16" x14ac:dyDescent="0.25">
      <c r="A1514" s="41">
        <v>5</v>
      </c>
      <c r="B1514" s="41">
        <v>252</v>
      </c>
      <c r="C1514" s="28">
        <v>17.4844796</v>
      </c>
      <c r="D1514" s="28">
        <v>8.1251267299999999</v>
      </c>
      <c r="E1514" s="28">
        <v>32.723661499999999</v>
      </c>
      <c r="F1514" s="28">
        <v>27.1872246</v>
      </c>
      <c r="G1514" s="28">
        <v>23.764670599999999</v>
      </c>
      <c r="H1514" s="28">
        <v>87.794785500000003</v>
      </c>
      <c r="I1514" s="28">
        <v>73.766943299999994</v>
      </c>
      <c r="J1514" s="28">
        <v>998.77308800000003</v>
      </c>
      <c r="K1514" s="28">
        <v>968.25079900000003</v>
      </c>
      <c r="L1514" s="42">
        <v>5.2078496200000002</v>
      </c>
      <c r="M1514" s="28">
        <v>148.389599</v>
      </c>
      <c r="N1514" s="28">
        <v>1654.71343</v>
      </c>
      <c r="O1514" s="28">
        <v>934.50107000000003</v>
      </c>
      <c r="P1514" s="28">
        <v>1065.49893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FD94A-BE37-4717-9CE9-73B4E2D1E2E6}">
  <dimension ref="A1:V14"/>
  <sheetViews>
    <sheetView workbookViewId="0">
      <pane xSplit="1" ySplit="1" topLeftCell="J2" activePane="bottomRight" state="frozen"/>
      <selection pane="topRight" activeCell="B1" sqref="B1"/>
      <selection pane="bottomLeft" activeCell="A2" sqref="A2"/>
      <selection pane="bottomRight" activeCell="U1" sqref="U1"/>
    </sheetView>
  </sheetViews>
  <sheetFormatPr defaultRowHeight="15" x14ac:dyDescent="0.25"/>
  <cols>
    <col min="1" max="1" width="24.28515625" bestFit="1" customWidth="1"/>
    <col min="2" max="2" width="14" customWidth="1"/>
    <col min="3" max="4" width="15.28515625" style="36" customWidth="1"/>
    <col min="6" max="11" width="15.28515625" style="36" customWidth="1"/>
    <col min="13" max="22" width="15.28515625" style="36" customWidth="1"/>
  </cols>
  <sheetData>
    <row r="1" spans="1:22" s="31" customFormat="1" ht="45.75" thickBot="1" x14ac:dyDescent="0.3">
      <c r="A1" s="30" t="s">
        <v>84</v>
      </c>
      <c r="B1" s="32" t="s">
        <v>16</v>
      </c>
      <c r="C1" s="32" t="s">
        <v>23</v>
      </c>
      <c r="D1" s="32" t="s">
        <v>13</v>
      </c>
      <c r="E1" s="32" t="s">
        <v>45</v>
      </c>
      <c r="F1" s="32" t="s">
        <v>14</v>
      </c>
      <c r="G1" s="32" t="s">
        <v>46</v>
      </c>
      <c r="H1" s="32" t="s">
        <v>21</v>
      </c>
      <c r="I1" s="32" t="s">
        <v>47</v>
      </c>
      <c r="J1" s="32" t="s">
        <v>18</v>
      </c>
      <c r="K1" s="32" t="s">
        <v>24</v>
      </c>
      <c r="L1" s="32" t="s">
        <v>25</v>
      </c>
      <c r="M1" s="32" t="s">
        <v>48</v>
      </c>
      <c r="N1" s="32" t="s">
        <v>27</v>
      </c>
      <c r="O1" s="32" t="s">
        <v>49</v>
      </c>
      <c r="P1" s="32" t="s">
        <v>29</v>
      </c>
      <c r="Q1" s="32" t="s">
        <v>50</v>
      </c>
      <c r="R1" s="32" t="s">
        <v>31</v>
      </c>
      <c r="S1" s="33" t="s">
        <v>32</v>
      </c>
    </row>
    <row r="2" spans="1:22" ht="15.75" thickBot="1" x14ac:dyDescent="0.3">
      <c r="A2" s="29" t="s">
        <v>3</v>
      </c>
      <c r="B2" s="34">
        <v>0.83233628196360243</v>
      </c>
      <c r="C2" s="34">
        <v>-0.49520679685623004</v>
      </c>
      <c r="D2" s="34">
        <v>-0.56922330743729399</v>
      </c>
      <c r="E2" s="34">
        <v>-0.4338038741462541</v>
      </c>
      <c r="F2" s="34">
        <v>-0.20806001667766558</v>
      </c>
      <c r="G2" s="34">
        <v>-0.27402601010502847</v>
      </c>
      <c r="H2" s="34">
        <v>-0.40930268269112419</v>
      </c>
      <c r="I2" s="34">
        <v>-0.19607797068405466</v>
      </c>
      <c r="J2" s="34">
        <v>8.0608837657851429E-2</v>
      </c>
      <c r="K2" s="34">
        <v>-0.28944071859081205</v>
      </c>
      <c r="L2" s="34">
        <v>-0.80588717024123024</v>
      </c>
      <c r="M2" s="34">
        <v>-0.57470758772501362</v>
      </c>
      <c r="N2" s="34">
        <v>-0.31107185895415862</v>
      </c>
      <c r="O2" s="34">
        <v>-0.39989984502659842</v>
      </c>
      <c r="P2" s="34">
        <v>-0.37215391832670996</v>
      </c>
      <c r="Q2" s="34">
        <v>-0.12493863467053029</v>
      </c>
      <c r="R2" s="34">
        <v>-0.76071396979518802</v>
      </c>
      <c r="S2" s="35">
        <v>0.36435812273903251</v>
      </c>
      <c r="T2"/>
      <c r="U2"/>
      <c r="V2"/>
    </row>
    <row r="3" spans="1:22" ht="15.75" thickBot="1" x14ac:dyDescent="0.3">
      <c r="A3" s="29" t="s">
        <v>10</v>
      </c>
      <c r="B3" s="34">
        <v>0.81635832593119551</v>
      </c>
      <c r="C3" s="34">
        <v>5.7177671135794132E-2</v>
      </c>
      <c r="D3" s="34">
        <v>-0.27290847500254817</v>
      </c>
      <c r="E3" s="34">
        <v>-0.28241189974349196</v>
      </c>
      <c r="F3" s="34">
        <v>-4.320468632604868E-2</v>
      </c>
      <c r="G3" s="34">
        <v>-0.2562008665772269</v>
      </c>
      <c r="H3" s="34">
        <v>-0.27789636776567217</v>
      </c>
      <c r="I3" s="34">
        <v>-0.29115997887898609</v>
      </c>
      <c r="J3" s="34">
        <v>0.69010760841979168</v>
      </c>
      <c r="K3" s="34">
        <v>-0.6103925627422907</v>
      </c>
      <c r="L3" s="34">
        <v>-0.7700996343111165</v>
      </c>
      <c r="M3" s="34">
        <v>-0.74290150879688011</v>
      </c>
      <c r="N3" s="34">
        <v>-0.61977527394631704</v>
      </c>
      <c r="O3" s="34">
        <v>-0.6809544028117156</v>
      </c>
      <c r="P3" s="34">
        <v>0.23743181949231937</v>
      </c>
      <c r="Q3" s="34">
        <v>-0.57660370247076786</v>
      </c>
      <c r="R3" s="34">
        <v>-0.60891649999055253</v>
      </c>
      <c r="S3" s="35">
        <v>0.64051982663897911</v>
      </c>
      <c r="T3"/>
      <c r="U3"/>
      <c r="V3"/>
    </row>
    <row r="4" spans="1:22" ht="15.75" thickBot="1" x14ac:dyDescent="0.3">
      <c r="A4" s="29" t="s">
        <v>5</v>
      </c>
      <c r="B4" s="34">
        <v>0.69421101645438132</v>
      </c>
      <c r="C4" s="34">
        <v>-0.3304913680625795</v>
      </c>
      <c r="D4" s="34">
        <v>-0.23632413888923137</v>
      </c>
      <c r="E4" s="34">
        <v>4.432510994998054E-2</v>
      </c>
      <c r="F4" s="34">
        <v>0.34067300739378825</v>
      </c>
      <c r="G4" s="34">
        <v>0.22589715682004136</v>
      </c>
      <c r="H4" s="34">
        <v>-0.82135185318575576</v>
      </c>
      <c r="I4" s="34">
        <v>0.31599495889212537</v>
      </c>
      <c r="J4" s="34">
        <v>0.19127741537476317</v>
      </c>
      <c r="K4" s="34">
        <v>-0.65206413327246793</v>
      </c>
      <c r="L4" s="34">
        <v>-0.60309227544475896</v>
      </c>
      <c r="M4" s="34">
        <v>-0.23875419017938929</v>
      </c>
      <c r="N4" s="34">
        <v>0.13000205626270384</v>
      </c>
      <c r="O4" s="34">
        <v>-7.7839866768285693E-2</v>
      </c>
      <c r="P4" s="34">
        <v>-0.62213354627161255</v>
      </c>
      <c r="Q4" s="34">
        <v>0.10881306029709793</v>
      </c>
      <c r="R4" s="34">
        <v>-0.48762575929299157</v>
      </c>
      <c r="S4" s="35">
        <v>0.66939730206481407</v>
      </c>
      <c r="T4"/>
      <c r="U4"/>
      <c r="V4"/>
    </row>
    <row r="5" spans="1:22" ht="15.75" thickBot="1" x14ac:dyDescent="0.3">
      <c r="A5" s="29" t="s">
        <v>8</v>
      </c>
      <c r="B5" s="34">
        <v>0.55191836301517838</v>
      </c>
      <c r="C5" s="34">
        <v>-8.7180447384997722E-2</v>
      </c>
      <c r="D5" s="34">
        <v>-0.14757908427155719</v>
      </c>
      <c r="E5" s="34">
        <v>6.6924952932574805E-2</v>
      </c>
      <c r="F5" s="34">
        <v>0.49872005788890761</v>
      </c>
      <c r="G5" s="34">
        <v>6.0558325141532733E-2</v>
      </c>
      <c r="H5" s="34">
        <v>-0.31712430149575582</v>
      </c>
      <c r="I5" s="34">
        <v>0.10318591099331782</v>
      </c>
      <c r="J5" s="34">
        <v>0.83894062445262851</v>
      </c>
      <c r="K5" s="34">
        <v>-0.90358084102908975</v>
      </c>
      <c r="L5" s="34">
        <v>-0.48269310079311867</v>
      </c>
      <c r="M5" s="34">
        <v>-0.38860684658197125</v>
      </c>
      <c r="N5" s="34">
        <v>-8.6383661333156433E-2</v>
      </c>
      <c r="O5" s="34">
        <v>-0.45303212737708121</v>
      </c>
      <c r="P5" s="34">
        <v>-0.12809488461761559</v>
      </c>
      <c r="Q5" s="34">
        <v>-0.54691452102095062</v>
      </c>
      <c r="R5" s="34">
        <v>-0.37056786513014683</v>
      </c>
      <c r="S5" s="35">
        <v>0.93751690973376034</v>
      </c>
      <c r="T5"/>
      <c r="U5"/>
      <c r="V5"/>
    </row>
    <row r="6" spans="1:22" ht="15.75" thickBot="1" x14ac:dyDescent="0.3">
      <c r="A6" s="29" t="s">
        <v>2</v>
      </c>
      <c r="B6" s="34">
        <v>0.51623339063952955</v>
      </c>
      <c r="C6" s="34">
        <v>0.44524216897531688</v>
      </c>
      <c r="D6" s="34">
        <v>4.8342504077994147E-2</v>
      </c>
      <c r="E6" s="34">
        <v>-8.3980389100936068E-2</v>
      </c>
      <c r="F6" s="34">
        <v>2.8232601894427393E-2</v>
      </c>
      <c r="G6" s="34">
        <v>-0.14370849706586458</v>
      </c>
      <c r="H6" s="34">
        <v>-0.13056033102984357</v>
      </c>
      <c r="I6" s="34">
        <v>-0.2524102958075789</v>
      </c>
      <c r="J6" s="34">
        <v>0.78291952040622748</v>
      </c>
      <c r="K6" s="34">
        <v>-0.5443301218552834</v>
      </c>
      <c r="L6" s="34">
        <v>-0.47109541358947199</v>
      </c>
      <c r="M6" s="34">
        <v>-0.58113534811017864</v>
      </c>
      <c r="N6" s="34">
        <v>-0.62596281410172516</v>
      </c>
      <c r="O6" s="34">
        <v>-0.58819023664097125</v>
      </c>
      <c r="P6" s="34">
        <v>0.58141548765996187</v>
      </c>
      <c r="Q6" s="34">
        <v>-0.59719329417009903</v>
      </c>
      <c r="R6" s="34">
        <v>-0.28158128246022179</v>
      </c>
      <c r="S6" s="35">
        <v>0.52770847222219641</v>
      </c>
      <c r="T6"/>
      <c r="U6"/>
      <c r="V6"/>
    </row>
    <row r="7" spans="1:22" ht="15.75" thickBot="1" x14ac:dyDescent="0.3">
      <c r="A7" s="29" t="s">
        <v>44</v>
      </c>
      <c r="B7" s="34">
        <v>0.49522262206988815</v>
      </c>
      <c r="C7" s="34">
        <v>0.46781262047637467</v>
      </c>
      <c r="D7" s="34">
        <v>0.14264413415348892</v>
      </c>
      <c r="E7" s="34">
        <v>8.1463839249382233E-2</v>
      </c>
      <c r="F7" s="34">
        <v>0.2404626909279835</v>
      </c>
      <c r="G7" s="34">
        <v>3.6449262793313113E-2</v>
      </c>
      <c r="H7" s="34">
        <v>-0.29991842526671297</v>
      </c>
      <c r="I7" s="34">
        <v>-5.9214027246812941E-2</v>
      </c>
      <c r="J7" s="34">
        <v>0.83115545939735958</v>
      </c>
      <c r="K7" s="34">
        <v>-0.7015685885592966</v>
      </c>
      <c r="L7" s="34">
        <v>-0.42470516072270498</v>
      </c>
      <c r="M7" s="34">
        <v>-0.47123487734167835</v>
      </c>
      <c r="N7" s="34">
        <v>-0.45507605004659019</v>
      </c>
      <c r="O7" s="34">
        <v>-0.48063486429971064</v>
      </c>
      <c r="P7" s="34">
        <v>0.45115189246361287</v>
      </c>
      <c r="Q7" s="34">
        <v>-0.51683368027433252</v>
      </c>
      <c r="R7" s="34">
        <v>-0.21129061209083716</v>
      </c>
      <c r="S7" s="35">
        <v>0.66881441886454918</v>
      </c>
      <c r="T7"/>
      <c r="U7"/>
      <c r="V7"/>
    </row>
    <row r="8" spans="1:22" ht="15.75" thickBot="1" x14ac:dyDescent="0.3">
      <c r="A8" s="29" t="s">
        <v>9</v>
      </c>
      <c r="B8" s="34">
        <v>0.3716113439028188</v>
      </c>
      <c r="C8" s="34">
        <v>0.47734005842393945</v>
      </c>
      <c r="D8" s="34">
        <v>6.7075657570143721E-2</v>
      </c>
      <c r="E8" s="34">
        <v>-8.5909121112622236E-2</v>
      </c>
      <c r="F8" s="34">
        <v>4.633822287322812E-2</v>
      </c>
      <c r="G8" s="34">
        <v>-0.21126601853080568</v>
      </c>
      <c r="H8" s="34">
        <v>0.11559854701535502</v>
      </c>
      <c r="I8" s="34">
        <v>-0.32717128684021257</v>
      </c>
      <c r="J8" s="34">
        <v>0.88666269303773548</v>
      </c>
      <c r="K8" s="34">
        <v>-0.52266920954498042</v>
      </c>
      <c r="L8" s="34">
        <v>-0.34821494067252146</v>
      </c>
      <c r="M8" s="34">
        <v>-0.56015853613117605</v>
      </c>
      <c r="N8" s="34">
        <v>-0.64139145292376787</v>
      </c>
      <c r="O8" s="34">
        <v>-0.65229611156784095</v>
      </c>
      <c r="P8" s="34">
        <v>0.71170306318134169</v>
      </c>
      <c r="Q8" s="34">
        <v>-0.76797019298959723</v>
      </c>
      <c r="R8" s="34">
        <v>-0.19110988338654258</v>
      </c>
      <c r="S8" s="35">
        <v>0.51159263885352135</v>
      </c>
      <c r="T8"/>
      <c r="U8"/>
      <c r="V8"/>
    </row>
    <row r="9" spans="1:22" ht="15.75" thickBot="1" x14ac:dyDescent="0.3">
      <c r="A9" s="29" t="s">
        <v>4</v>
      </c>
      <c r="B9" s="34">
        <v>0.30148200662544605</v>
      </c>
      <c r="C9" s="34">
        <v>-0.73170304244872864</v>
      </c>
      <c r="D9" s="34">
        <v>-0.52798848431518242</v>
      </c>
      <c r="E9" s="34">
        <v>-0.37046703798827602</v>
      </c>
      <c r="F9" s="34">
        <v>-0.34840240552194207</v>
      </c>
      <c r="G9" s="34">
        <v>-0.17546137531909434</v>
      </c>
      <c r="H9" s="34">
        <v>-0.22656616670003918</v>
      </c>
      <c r="I9" s="34">
        <v>-4.3967152383393659E-2</v>
      </c>
      <c r="J9" s="34">
        <v>-0.67378491785823924</v>
      </c>
      <c r="K9" s="34">
        <v>0.32294664664929856</v>
      </c>
      <c r="L9" s="34">
        <v>-0.32507755456896964</v>
      </c>
      <c r="M9" s="34">
        <v>-5.7704797925539522E-2</v>
      </c>
      <c r="N9" s="34">
        <v>0.13853548561696022</v>
      </c>
      <c r="O9" s="34">
        <v>0.1328510238145609</v>
      </c>
      <c r="P9" s="34">
        <v>-0.69982323005531599</v>
      </c>
      <c r="Q9" s="34">
        <v>0.42379000166805664</v>
      </c>
      <c r="R9" s="34">
        <v>-0.43256971790551541</v>
      </c>
      <c r="S9" s="35">
        <v>-0.2554463337239834</v>
      </c>
      <c r="T9"/>
      <c r="U9"/>
      <c r="V9"/>
    </row>
    <row r="10" spans="1:22" ht="15.75" thickBot="1" x14ac:dyDescent="0.3">
      <c r="A10" s="29" t="s">
        <v>6</v>
      </c>
      <c r="B10" s="34">
        <v>9.2883322110722019E-2</v>
      </c>
      <c r="C10" s="34">
        <v>0.49494971255382769</v>
      </c>
      <c r="D10" s="34">
        <v>0.21024010933156015</v>
      </c>
      <c r="E10" s="34">
        <v>9.7449450990606215E-2</v>
      </c>
      <c r="F10" s="34">
        <v>0.22979885298602937</v>
      </c>
      <c r="G10" s="34">
        <v>-7.2594619482058309E-2</v>
      </c>
      <c r="H10" s="34">
        <v>0.2199116533200674</v>
      </c>
      <c r="I10" s="34">
        <v>-0.16960188443000207</v>
      </c>
      <c r="J10" s="34">
        <v>0.88650322332695775</v>
      </c>
      <c r="K10" s="34">
        <v>-0.49276721624996039</v>
      </c>
      <c r="L10" s="34">
        <v>-6.9206119131327376E-2</v>
      </c>
      <c r="M10" s="34">
        <v>-0.30467225571420808</v>
      </c>
      <c r="N10" s="34">
        <v>-0.38474515783584839</v>
      </c>
      <c r="O10" s="34">
        <v>-0.47299392467918444</v>
      </c>
      <c r="P10" s="34">
        <v>0.64862472837190854</v>
      </c>
      <c r="Q10" s="34">
        <v>-0.69196162537981165</v>
      </c>
      <c r="R10" s="34">
        <v>4.0128706322301817E-2</v>
      </c>
      <c r="S10" s="35">
        <v>0.48481393832327196</v>
      </c>
      <c r="T10"/>
      <c r="U10"/>
      <c r="V10"/>
    </row>
    <row r="11" spans="1:22" ht="15.75" thickBot="1" x14ac:dyDescent="0.3">
      <c r="A11" s="29" t="s">
        <v>20</v>
      </c>
      <c r="B11" s="34">
        <v>7.2843250341348323E-2</v>
      </c>
      <c r="C11" s="34">
        <v>-0.22121363634364202</v>
      </c>
      <c r="D11" s="34">
        <v>-0.33755815144356499</v>
      </c>
      <c r="E11" s="34">
        <v>-0.52577167787759005</v>
      </c>
      <c r="F11" s="34">
        <v>-0.78251735341377249</v>
      </c>
      <c r="G11" s="34">
        <v>-0.4576092371131395</v>
      </c>
      <c r="H11" s="34">
        <v>0.26624504493852724</v>
      </c>
      <c r="I11" s="34">
        <v>-0.4725809602133843</v>
      </c>
      <c r="J11" s="34">
        <v>-0.64364183853174606</v>
      </c>
      <c r="K11" s="34">
        <v>0.71594872274784538</v>
      </c>
      <c r="L11" s="34">
        <v>-0.15084942180844563</v>
      </c>
      <c r="M11" s="34">
        <v>-0.1983821357030279</v>
      </c>
      <c r="N11" s="34">
        <v>-0.37133011174441583</v>
      </c>
      <c r="O11" s="34">
        <v>-5.742683735936089E-2</v>
      </c>
      <c r="P11" s="34">
        <v>0.10243513893518223</v>
      </c>
      <c r="Q11" s="34">
        <v>0.18195673939553544</v>
      </c>
      <c r="R11" s="34">
        <v>-0.23434555002179702</v>
      </c>
      <c r="S11" s="35">
        <v>-0.69002037732358124</v>
      </c>
      <c r="T11"/>
      <c r="U11"/>
      <c r="V11"/>
    </row>
    <row r="12" spans="1:22" ht="15.75" thickBot="1" x14ac:dyDescent="0.3">
      <c r="A12" s="29" t="s">
        <v>7</v>
      </c>
      <c r="B12" s="34">
        <v>-6.849174835048194E-2</v>
      </c>
      <c r="C12" s="34">
        <v>0.22957062734935058</v>
      </c>
      <c r="D12" s="34">
        <v>-0.12491208154799967</v>
      </c>
      <c r="E12" s="34">
        <v>-0.48171590858699626</v>
      </c>
      <c r="F12" s="34">
        <v>-0.72744355874191879</v>
      </c>
      <c r="G12" s="34">
        <v>-0.59660607505943719</v>
      </c>
      <c r="H12" s="34">
        <v>0.69803671714335214</v>
      </c>
      <c r="I12" s="34">
        <v>-0.7079970872522936</v>
      </c>
      <c r="J12" s="34">
        <v>-4.4698141091161055E-2</v>
      </c>
      <c r="K12" s="34">
        <v>0.55912272066678859</v>
      </c>
      <c r="L12" s="34">
        <v>-2.1840530936574287E-2</v>
      </c>
      <c r="M12" s="34">
        <v>-0.35795281820275521</v>
      </c>
      <c r="N12" s="34">
        <v>-0.7006245290597336</v>
      </c>
      <c r="O12" s="34">
        <v>-0.39353087889954891</v>
      </c>
      <c r="P12" s="34">
        <v>0.77047176258102956</v>
      </c>
      <c r="Q12" s="34">
        <v>-0.3729867181610334</v>
      </c>
      <c r="R12" s="34">
        <v>-6.5605977258634429E-2</v>
      </c>
      <c r="S12" s="35">
        <v>-0.53965216014695361</v>
      </c>
      <c r="T12"/>
      <c r="U12"/>
      <c r="V12"/>
    </row>
    <row r="13" spans="1:22" ht="15.75" thickBot="1" x14ac:dyDescent="0.3">
      <c r="A13" s="29" t="s">
        <v>19</v>
      </c>
      <c r="B13" s="34">
        <v>-7.2843250341348323E-2</v>
      </c>
      <c r="C13" s="34">
        <v>0.22121363634364202</v>
      </c>
      <c r="D13" s="34">
        <v>0.33755815144356499</v>
      </c>
      <c r="E13" s="34">
        <v>0.52577167787759005</v>
      </c>
      <c r="F13" s="34">
        <v>0.78251735341377249</v>
      </c>
      <c r="G13" s="34">
        <v>0.4576092371131395</v>
      </c>
      <c r="H13" s="34">
        <v>-0.26624504493852724</v>
      </c>
      <c r="I13" s="34">
        <v>0.4725809602133843</v>
      </c>
      <c r="J13" s="34">
        <v>0.64364183853174606</v>
      </c>
      <c r="K13" s="34">
        <v>-0.71594872274784538</v>
      </c>
      <c r="L13" s="34">
        <v>0.15084942180844563</v>
      </c>
      <c r="M13" s="34">
        <v>0.1983821357030279</v>
      </c>
      <c r="N13" s="34">
        <v>0.37133011174441583</v>
      </c>
      <c r="O13" s="34">
        <v>5.742683735936089E-2</v>
      </c>
      <c r="P13" s="34">
        <v>-0.10243513893518223</v>
      </c>
      <c r="Q13" s="34">
        <v>-0.18195673939553544</v>
      </c>
      <c r="R13" s="34">
        <v>0.23434555002179702</v>
      </c>
      <c r="S13" s="35">
        <v>0.69002037732358124</v>
      </c>
      <c r="T13"/>
      <c r="U13"/>
      <c r="V13"/>
    </row>
    <row r="14" spans="1:22" ht="15.75" thickBot="1" x14ac:dyDescent="0.3">
      <c r="A14" s="29" t="s">
        <v>80</v>
      </c>
      <c r="B14" s="34">
        <v>-0.20262019900960651</v>
      </c>
      <c r="C14" s="34">
        <v>0.17253490847178585</v>
      </c>
      <c r="D14" s="34">
        <v>0.44231043052297192</v>
      </c>
      <c r="E14" s="34">
        <v>0.54221359005135394</v>
      </c>
      <c r="F14" s="34">
        <v>0.36981077554226632</v>
      </c>
      <c r="G14" s="34">
        <v>0.68088470311974558</v>
      </c>
      <c r="H14" s="34">
        <v>-0.74586037621773804</v>
      </c>
      <c r="I14" s="34">
        <v>0.69267081400326869</v>
      </c>
      <c r="J14" s="34">
        <v>-0.45971394875731608</v>
      </c>
      <c r="K14" s="34">
        <v>6.0093354120680995E-3</v>
      </c>
      <c r="L14" s="34">
        <v>0.28538679295384861</v>
      </c>
      <c r="M14" s="34">
        <v>0.57582103058835843</v>
      </c>
      <c r="N14" s="34">
        <v>0.61397903275043386</v>
      </c>
      <c r="O14" s="34">
        <v>0.73589049342275159</v>
      </c>
      <c r="P14" s="34">
        <v>-0.46862851137458728</v>
      </c>
      <c r="Q14" s="34">
        <v>0.87099307721261521</v>
      </c>
      <c r="R14" s="34">
        <v>0.35697677898066049</v>
      </c>
      <c r="S14" s="35">
        <v>-8.7791400811174009E-2</v>
      </c>
      <c r="T14"/>
      <c r="U14"/>
      <c r="V14"/>
    </row>
  </sheetData>
  <conditionalFormatting sqref="B2:S14">
    <cfRule type="colorScale" priority="2">
      <colorScale>
        <cfvo type="num" val="-1"/>
        <cfvo type="num" val="0"/>
        <cfvo type="num" val="1"/>
        <color rgb="FFFF5B5B"/>
        <color theme="0"/>
        <color rgb="FFFF5B5B"/>
      </colorScale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57B9C-F546-4C04-AEE7-42E252AC8C83}">
  <dimension ref="A1:N19"/>
  <sheetViews>
    <sheetView workbookViewId="0">
      <selection activeCell="C10" sqref="C10"/>
    </sheetView>
  </sheetViews>
  <sheetFormatPr defaultRowHeight="15" x14ac:dyDescent="0.25"/>
  <cols>
    <col min="1" max="1" width="24.28515625" bestFit="1" customWidth="1"/>
    <col min="2" max="10" width="10.5703125" customWidth="1"/>
    <col min="12" max="15" width="10.5703125" customWidth="1"/>
  </cols>
  <sheetData>
    <row r="1" spans="1:14" x14ac:dyDescent="0.25">
      <c r="A1" t="s">
        <v>86</v>
      </c>
      <c r="B1" t="s">
        <v>6</v>
      </c>
      <c r="C1" t="s">
        <v>3</v>
      </c>
      <c r="D1" t="s">
        <v>10</v>
      </c>
      <c r="E1" t="s">
        <v>5</v>
      </c>
      <c r="F1" t="s">
        <v>8</v>
      </c>
      <c r="G1" t="s">
        <v>2</v>
      </c>
      <c r="H1" t="s">
        <v>44</v>
      </c>
      <c r="I1" t="s">
        <v>9</v>
      </c>
      <c r="J1" t="s">
        <v>4</v>
      </c>
      <c r="K1" t="s">
        <v>20</v>
      </c>
      <c r="L1" t="s">
        <v>7</v>
      </c>
      <c r="M1" t="s">
        <v>19</v>
      </c>
      <c r="N1" t="s">
        <v>80</v>
      </c>
    </row>
    <row r="2" spans="1:14" x14ac:dyDescent="0.25">
      <c r="A2" t="s">
        <v>18</v>
      </c>
      <c r="B2" s="50">
        <v>0.88650322332695775</v>
      </c>
      <c r="C2" s="50">
        <v>8.0608837657851429E-2</v>
      </c>
      <c r="D2" s="50">
        <v>0.69010760841979168</v>
      </c>
      <c r="E2" s="50">
        <v>0.19127741537476317</v>
      </c>
      <c r="F2" s="50">
        <v>0.83894062445262851</v>
      </c>
      <c r="G2" s="50">
        <v>0.78291952040622748</v>
      </c>
      <c r="H2" s="50">
        <v>0.83115545939735958</v>
      </c>
      <c r="I2" s="50">
        <v>0.88666269303773548</v>
      </c>
      <c r="J2" s="50">
        <v>-0.67378491785823924</v>
      </c>
      <c r="K2" s="50">
        <v>-0.64364183853174606</v>
      </c>
      <c r="L2" s="50">
        <v>-4.4698141091161055E-2</v>
      </c>
      <c r="M2" s="50">
        <v>0.64364183853174606</v>
      </c>
      <c r="N2" s="50">
        <v>-0.45971394875731608</v>
      </c>
    </row>
    <row r="3" spans="1:14" x14ac:dyDescent="0.25">
      <c r="A3" t="s">
        <v>29</v>
      </c>
      <c r="B3" s="50">
        <v>0.64862472837190854</v>
      </c>
      <c r="C3" s="50">
        <v>-0.37215391832670996</v>
      </c>
      <c r="D3" s="50">
        <v>0.23743181949231937</v>
      </c>
      <c r="E3" s="50">
        <v>-0.62213354627161255</v>
      </c>
      <c r="F3" s="50">
        <v>-0.12809488461761559</v>
      </c>
      <c r="G3" s="50">
        <v>0.58141548765996187</v>
      </c>
      <c r="H3" s="50">
        <v>0.45115189246361287</v>
      </c>
      <c r="I3" s="50">
        <v>0.71170306318134169</v>
      </c>
      <c r="J3" s="50">
        <v>-0.69982323005531599</v>
      </c>
      <c r="K3" s="50">
        <v>0.10243513893518223</v>
      </c>
      <c r="L3" s="50">
        <v>0.77047176258102956</v>
      </c>
      <c r="M3" s="50">
        <v>-0.10243513893518223</v>
      </c>
      <c r="N3" s="50">
        <v>-0.46862851137458728</v>
      </c>
    </row>
    <row r="4" spans="1:14" x14ac:dyDescent="0.25">
      <c r="A4" t="s">
        <v>23</v>
      </c>
      <c r="B4" s="50">
        <v>0.49494971255382769</v>
      </c>
      <c r="C4" s="50">
        <v>-0.49520679685623004</v>
      </c>
      <c r="D4" s="50">
        <v>5.7177671135794132E-2</v>
      </c>
      <c r="E4" s="50">
        <v>-0.3304913680625795</v>
      </c>
      <c r="F4" s="50">
        <v>-8.7180447384997722E-2</v>
      </c>
      <c r="G4" s="50">
        <v>0.44524216897531688</v>
      </c>
      <c r="H4" s="50">
        <v>0.46781262047637467</v>
      </c>
      <c r="I4" s="50">
        <v>0.47734005842393945</v>
      </c>
      <c r="J4" s="50">
        <v>-0.73170304244872864</v>
      </c>
      <c r="K4" s="50">
        <v>-0.22121363634364202</v>
      </c>
      <c r="L4" s="50">
        <v>0.22957062734935058</v>
      </c>
      <c r="M4" s="50">
        <v>0.22121363634364202</v>
      </c>
      <c r="N4" s="50">
        <v>0.17253490847178585</v>
      </c>
    </row>
    <row r="5" spans="1:14" x14ac:dyDescent="0.25">
      <c r="A5" t="s">
        <v>32</v>
      </c>
      <c r="B5" s="50">
        <v>0.48481393832327196</v>
      </c>
      <c r="C5" s="50">
        <v>0.36435812273903251</v>
      </c>
      <c r="D5" s="50">
        <v>0.64051982663897911</v>
      </c>
      <c r="E5" s="50">
        <v>0.66939730206481407</v>
      </c>
      <c r="F5" s="50">
        <v>0.93751690973376034</v>
      </c>
      <c r="G5" s="50">
        <v>0.52770847222219641</v>
      </c>
      <c r="H5" s="50">
        <v>0.66881441886454918</v>
      </c>
      <c r="I5" s="50">
        <v>0.51159263885352135</v>
      </c>
      <c r="J5" s="50">
        <v>-0.2554463337239834</v>
      </c>
      <c r="K5" s="50">
        <v>-0.69002037732358124</v>
      </c>
      <c r="L5" s="50">
        <v>-0.53965216014695361</v>
      </c>
      <c r="M5" s="50">
        <v>0.69002037732358124</v>
      </c>
      <c r="N5" s="50">
        <v>-8.7791400811174009E-2</v>
      </c>
    </row>
    <row r="6" spans="1:14" x14ac:dyDescent="0.25">
      <c r="A6" t="s">
        <v>14</v>
      </c>
      <c r="B6" s="50">
        <v>0.22979885298602937</v>
      </c>
      <c r="C6" s="50">
        <v>-0.20806001667766558</v>
      </c>
      <c r="D6" s="50">
        <v>-4.320468632604868E-2</v>
      </c>
      <c r="E6" s="50">
        <v>0.34067300739378825</v>
      </c>
      <c r="F6" s="50">
        <v>0.49872005788890761</v>
      </c>
      <c r="G6" s="50">
        <v>2.8232601894427393E-2</v>
      </c>
      <c r="H6" s="50">
        <v>0.2404626909279835</v>
      </c>
      <c r="I6" s="50">
        <v>4.633822287322812E-2</v>
      </c>
      <c r="J6" s="50">
        <v>-0.34840240552194207</v>
      </c>
      <c r="K6" s="50">
        <v>-0.78251735341377249</v>
      </c>
      <c r="L6" s="50">
        <v>-0.72744355874191879</v>
      </c>
      <c r="M6" s="50">
        <v>0.78251735341377249</v>
      </c>
      <c r="N6" s="50">
        <v>0.36981077554226632</v>
      </c>
    </row>
    <row r="7" spans="1:14" x14ac:dyDescent="0.25">
      <c r="A7" t="s">
        <v>21</v>
      </c>
      <c r="B7" s="50">
        <v>0.2199116533200674</v>
      </c>
      <c r="C7" s="50">
        <v>-0.40930268269112419</v>
      </c>
      <c r="D7" s="50">
        <v>-0.27789636776567217</v>
      </c>
      <c r="E7" s="50">
        <v>-0.82135185318575576</v>
      </c>
      <c r="F7" s="50">
        <v>-0.31712430149575582</v>
      </c>
      <c r="G7" s="50">
        <v>-0.13056033102984357</v>
      </c>
      <c r="H7" s="50">
        <v>-0.29991842526671297</v>
      </c>
      <c r="I7" s="50">
        <v>0.11559854701535502</v>
      </c>
      <c r="J7" s="50">
        <v>-0.22656616670003918</v>
      </c>
      <c r="K7" s="50">
        <v>0.26624504493852724</v>
      </c>
      <c r="L7" s="50">
        <v>0.69803671714335214</v>
      </c>
      <c r="M7" s="50">
        <v>-0.26624504493852724</v>
      </c>
      <c r="N7" s="50">
        <v>-0.74586037621773804</v>
      </c>
    </row>
    <row r="8" spans="1:14" x14ac:dyDescent="0.25">
      <c r="A8" t="s">
        <v>13</v>
      </c>
      <c r="B8" s="50">
        <v>0.21024010933156015</v>
      </c>
      <c r="C8" s="50">
        <v>-0.56922330743729399</v>
      </c>
      <c r="D8" s="50">
        <v>-0.27290847500254817</v>
      </c>
      <c r="E8" s="50">
        <v>-0.23632413888923137</v>
      </c>
      <c r="F8" s="50">
        <v>-0.14757908427155719</v>
      </c>
      <c r="G8" s="50">
        <v>4.8342504077994147E-2</v>
      </c>
      <c r="H8" s="50">
        <v>0.14264413415348892</v>
      </c>
      <c r="I8" s="50">
        <v>6.7075657570143721E-2</v>
      </c>
      <c r="J8" s="50">
        <v>-0.52798848431518242</v>
      </c>
      <c r="K8" s="50">
        <v>-0.33755815144356499</v>
      </c>
      <c r="L8" s="50">
        <v>-0.12491208154799967</v>
      </c>
      <c r="M8" s="50">
        <v>0.33755815144356499</v>
      </c>
      <c r="N8" s="50">
        <v>0.44231043052297192</v>
      </c>
    </row>
    <row r="9" spans="1:14" x14ac:dyDescent="0.25">
      <c r="A9" t="s">
        <v>45</v>
      </c>
      <c r="B9" s="50">
        <v>9.7449450990606215E-2</v>
      </c>
      <c r="C9" s="50">
        <v>-0.4338038741462541</v>
      </c>
      <c r="D9" s="50">
        <v>-0.28241189974349196</v>
      </c>
      <c r="E9" s="50">
        <v>4.432510994998054E-2</v>
      </c>
      <c r="F9" s="50">
        <v>6.6924952932574805E-2</v>
      </c>
      <c r="G9" s="50">
        <v>-8.3980389100936068E-2</v>
      </c>
      <c r="H9" s="50">
        <v>8.1463839249382233E-2</v>
      </c>
      <c r="I9" s="50">
        <v>-8.5909121112622236E-2</v>
      </c>
      <c r="J9" s="50">
        <v>-0.37046703798827602</v>
      </c>
      <c r="K9" s="50">
        <v>-0.52577167787759005</v>
      </c>
      <c r="L9" s="50">
        <v>-0.48171590858699626</v>
      </c>
      <c r="M9" s="50">
        <v>0.52577167787759005</v>
      </c>
      <c r="N9" s="50">
        <v>0.54221359005135394</v>
      </c>
    </row>
    <row r="10" spans="1:14" x14ac:dyDescent="0.25">
      <c r="A10" t="s">
        <v>16</v>
      </c>
      <c r="B10" s="50">
        <v>9.2883322110722019E-2</v>
      </c>
      <c r="C10" s="50">
        <v>0.83233628196360243</v>
      </c>
      <c r="D10" s="50">
        <v>0.81635832593119551</v>
      </c>
      <c r="E10" s="50">
        <v>0.69421101645438132</v>
      </c>
      <c r="F10" s="50">
        <v>0.55191836301517838</v>
      </c>
      <c r="G10" s="50">
        <v>0.51623339063952955</v>
      </c>
      <c r="H10" s="50">
        <v>0.49522262206988815</v>
      </c>
      <c r="I10" s="50">
        <v>0.3716113439028188</v>
      </c>
      <c r="J10" s="50">
        <v>0.30148200662544605</v>
      </c>
      <c r="K10" s="50">
        <v>7.2843250341348323E-2</v>
      </c>
      <c r="L10" s="50">
        <v>-6.849174835048194E-2</v>
      </c>
      <c r="M10" s="50">
        <v>-7.2843250341348323E-2</v>
      </c>
      <c r="N10" s="50">
        <v>-0.20262019900960651</v>
      </c>
    </row>
    <row r="11" spans="1:14" x14ac:dyDescent="0.25">
      <c r="A11" t="s">
        <v>31</v>
      </c>
      <c r="B11" s="50">
        <v>4.0128706322301817E-2</v>
      </c>
      <c r="C11" s="50">
        <v>-0.76071396979518802</v>
      </c>
      <c r="D11" s="50">
        <v>-0.60891649999055253</v>
      </c>
      <c r="E11" s="50">
        <v>-0.48762575929299157</v>
      </c>
      <c r="F11" s="50">
        <v>-0.37056786513014683</v>
      </c>
      <c r="G11" s="50">
        <v>-0.28158128246022179</v>
      </c>
      <c r="H11" s="50">
        <v>-0.21129061209083716</v>
      </c>
      <c r="I11" s="50">
        <v>-0.19110988338654258</v>
      </c>
      <c r="J11" s="50">
        <v>-0.43256971790551541</v>
      </c>
      <c r="K11" s="50">
        <v>-0.23434555002179702</v>
      </c>
      <c r="L11" s="50">
        <v>-6.5605977258634429E-2</v>
      </c>
      <c r="M11" s="50">
        <v>0.23434555002179702</v>
      </c>
      <c r="N11" s="50">
        <v>0.35697677898066049</v>
      </c>
    </row>
    <row r="12" spans="1:14" x14ac:dyDescent="0.25">
      <c r="A12" t="s">
        <v>25</v>
      </c>
      <c r="B12" s="50">
        <v>-6.9206119131327376E-2</v>
      </c>
      <c r="C12" s="50">
        <v>-0.80588717024123024</v>
      </c>
      <c r="D12" s="50">
        <v>-0.7700996343111165</v>
      </c>
      <c r="E12" s="50">
        <v>-0.60309227544475896</v>
      </c>
      <c r="F12" s="50">
        <v>-0.48269310079311867</v>
      </c>
      <c r="G12" s="50">
        <v>-0.47109541358947199</v>
      </c>
      <c r="H12" s="50">
        <v>-0.42470516072270498</v>
      </c>
      <c r="I12" s="50">
        <v>-0.34821494067252146</v>
      </c>
      <c r="J12" s="50">
        <v>-0.32507755456896964</v>
      </c>
      <c r="K12" s="50">
        <v>-0.15084942180844563</v>
      </c>
      <c r="L12" s="50">
        <v>-2.1840530936574287E-2</v>
      </c>
      <c r="M12" s="50">
        <v>0.15084942180844563</v>
      </c>
      <c r="N12" s="50">
        <v>0.28538679295384861</v>
      </c>
    </row>
    <row r="13" spans="1:14" x14ac:dyDescent="0.25">
      <c r="A13" t="s">
        <v>46</v>
      </c>
      <c r="B13" s="50">
        <v>-7.2594619482058309E-2</v>
      </c>
      <c r="C13" s="50">
        <v>-0.27402601010502847</v>
      </c>
      <c r="D13" s="50">
        <v>-0.2562008665772269</v>
      </c>
      <c r="E13" s="50">
        <v>0.22589715682004136</v>
      </c>
      <c r="F13" s="50">
        <v>6.0558325141532733E-2</v>
      </c>
      <c r="G13" s="50">
        <v>-0.14370849706586458</v>
      </c>
      <c r="H13" s="50">
        <v>3.6449262793313113E-2</v>
      </c>
      <c r="I13" s="50">
        <v>-0.21126601853080568</v>
      </c>
      <c r="J13" s="50">
        <v>-0.17546137531909434</v>
      </c>
      <c r="K13" s="50">
        <v>-0.4576092371131395</v>
      </c>
      <c r="L13" s="50">
        <v>-0.59660607505943719</v>
      </c>
      <c r="M13" s="50">
        <v>0.4576092371131395</v>
      </c>
      <c r="N13" s="50">
        <v>0.68088470311974558</v>
      </c>
    </row>
    <row r="14" spans="1:14" x14ac:dyDescent="0.25">
      <c r="A14" t="s">
        <v>47</v>
      </c>
      <c r="B14" s="50">
        <v>-0.16960188443000207</v>
      </c>
      <c r="C14" s="50">
        <v>-0.19607797068405466</v>
      </c>
      <c r="D14" s="50">
        <v>-0.29115997887898609</v>
      </c>
      <c r="E14" s="50">
        <v>0.31599495889212537</v>
      </c>
      <c r="F14" s="50">
        <v>0.10318591099331782</v>
      </c>
      <c r="G14" s="50">
        <v>-0.2524102958075789</v>
      </c>
      <c r="H14" s="50">
        <v>-5.9214027246812941E-2</v>
      </c>
      <c r="I14" s="50">
        <v>-0.32717128684021257</v>
      </c>
      <c r="J14" s="50">
        <v>-4.3967152383393659E-2</v>
      </c>
      <c r="K14" s="50">
        <v>-0.4725809602133843</v>
      </c>
      <c r="L14" s="50">
        <v>-0.7079970872522936</v>
      </c>
      <c r="M14" s="50">
        <v>0.4725809602133843</v>
      </c>
      <c r="N14" s="50">
        <v>0.69267081400326869</v>
      </c>
    </row>
    <row r="15" spans="1:14" x14ac:dyDescent="0.25">
      <c r="A15" t="s">
        <v>48</v>
      </c>
      <c r="B15" s="50">
        <v>-0.30467225571420808</v>
      </c>
      <c r="C15" s="50">
        <v>-0.57470758772501362</v>
      </c>
      <c r="D15" s="50">
        <v>-0.74290150879688011</v>
      </c>
      <c r="E15" s="50">
        <v>-0.23875419017938929</v>
      </c>
      <c r="F15" s="50">
        <v>-0.38860684658197125</v>
      </c>
      <c r="G15" s="50">
        <v>-0.58113534811017864</v>
      </c>
      <c r="H15" s="50">
        <v>-0.47123487734167835</v>
      </c>
      <c r="I15" s="50">
        <v>-0.56015853613117605</v>
      </c>
      <c r="J15" s="50">
        <v>-5.7704797925539522E-2</v>
      </c>
      <c r="K15" s="50">
        <v>-0.1983821357030279</v>
      </c>
      <c r="L15" s="50">
        <v>-0.35795281820275521</v>
      </c>
      <c r="M15" s="50">
        <v>0.1983821357030279</v>
      </c>
      <c r="N15" s="50">
        <v>0.57582103058835843</v>
      </c>
    </row>
    <row r="16" spans="1:14" x14ac:dyDescent="0.25">
      <c r="A16" t="s">
        <v>27</v>
      </c>
      <c r="B16" s="50">
        <v>-0.38474515783584839</v>
      </c>
      <c r="C16" s="50">
        <v>-0.31107185895415862</v>
      </c>
      <c r="D16" s="50">
        <v>-0.61977527394631704</v>
      </c>
      <c r="E16" s="50">
        <v>0.13000205626270384</v>
      </c>
      <c r="F16" s="50">
        <v>-8.6383661333156433E-2</v>
      </c>
      <c r="G16" s="50">
        <v>-0.62596281410172516</v>
      </c>
      <c r="H16" s="50">
        <v>-0.45507605004659019</v>
      </c>
      <c r="I16" s="50">
        <v>-0.64139145292376787</v>
      </c>
      <c r="J16" s="50">
        <v>0.13853548561696022</v>
      </c>
      <c r="K16" s="50">
        <v>-0.37133011174441583</v>
      </c>
      <c r="L16" s="50">
        <v>-0.7006245290597336</v>
      </c>
      <c r="M16" s="50">
        <v>0.37133011174441583</v>
      </c>
      <c r="N16" s="50">
        <v>0.61397903275043386</v>
      </c>
    </row>
    <row r="17" spans="1:14" x14ac:dyDescent="0.25">
      <c r="A17" t="s">
        <v>49</v>
      </c>
      <c r="B17" s="50">
        <v>-0.47299392467918444</v>
      </c>
      <c r="C17" s="50">
        <v>-0.39989984502659842</v>
      </c>
      <c r="D17" s="50">
        <v>-0.6809544028117156</v>
      </c>
      <c r="E17" s="50">
        <v>-7.7839866768285693E-2</v>
      </c>
      <c r="F17" s="50">
        <v>-0.45303212737708121</v>
      </c>
      <c r="G17" s="50">
        <v>-0.58819023664097125</v>
      </c>
      <c r="H17" s="50">
        <v>-0.48063486429971064</v>
      </c>
      <c r="I17" s="50">
        <v>-0.65229611156784095</v>
      </c>
      <c r="J17" s="50">
        <v>0.1328510238145609</v>
      </c>
      <c r="K17" s="50">
        <v>-5.742683735936089E-2</v>
      </c>
      <c r="L17" s="50">
        <v>-0.39353087889954891</v>
      </c>
      <c r="M17" s="50">
        <v>5.742683735936089E-2</v>
      </c>
      <c r="N17" s="50">
        <v>0.73589049342275159</v>
      </c>
    </row>
    <row r="18" spans="1:14" x14ac:dyDescent="0.25">
      <c r="A18" t="s">
        <v>24</v>
      </c>
      <c r="B18" s="50">
        <v>-0.49276721624996039</v>
      </c>
      <c r="C18" s="50">
        <v>-0.28944071859081205</v>
      </c>
      <c r="D18" s="50">
        <v>-0.6103925627422907</v>
      </c>
      <c r="E18" s="50">
        <v>-0.65206413327246793</v>
      </c>
      <c r="F18" s="50">
        <v>-0.90358084102908975</v>
      </c>
      <c r="G18" s="50">
        <v>-0.5443301218552834</v>
      </c>
      <c r="H18" s="50">
        <v>-0.7015685885592966</v>
      </c>
      <c r="I18" s="50">
        <v>-0.52266920954498042</v>
      </c>
      <c r="J18" s="50">
        <v>0.32294664664929856</v>
      </c>
      <c r="K18" s="50">
        <v>0.71594872274784538</v>
      </c>
      <c r="L18" s="50">
        <v>0.55912272066678859</v>
      </c>
      <c r="M18" s="50">
        <v>-0.71594872274784538</v>
      </c>
      <c r="N18" s="50">
        <v>6.0093354120680995E-3</v>
      </c>
    </row>
    <row r="19" spans="1:14" x14ac:dyDescent="0.25">
      <c r="A19" t="s">
        <v>50</v>
      </c>
      <c r="B19" s="50">
        <v>-0.69196162537981165</v>
      </c>
      <c r="C19" s="50">
        <v>-0.12493863467053029</v>
      </c>
      <c r="D19" s="50">
        <v>-0.57660370247076786</v>
      </c>
      <c r="E19" s="50">
        <v>0.10881306029709793</v>
      </c>
      <c r="F19" s="50">
        <v>-0.54691452102095062</v>
      </c>
      <c r="G19" s="50">
        <v>-0.59719329417009903</v>
      </c>
      <c r="H19" s="50">
        <v>-0.51683368027433252</v>
      </c>
      <c r="I19" s="50">
        <v>-0.76797019298959723</v>
      </c>
      <c r="J19" s="50">
        <v>0.42379000166805664</v>
      </c>
      <c r="K19" s="50">
        <v>0.18195673939553544</v>
      </c>
      <c r="L19" s="50">
        <v>-0.3729867181610334</v>
      </c>
      <c r="M19" s="50">
        <v>-0.18195673939553544</v>
      </c>
      <c r="N19" s="50">
        <v>0.87099307721261521</v>
      </c>
    </row>
  </sheetData>
  <conditionalFormatting sqref="B2:N19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92106-979E-4D39-80AD-DC619637DE64}">
  <dimension ref="A1:O15"/>
  <sheetViews>
    <sheetView workbookViewId="0">
      <selection activeCell="C14" sqref="C14"/>
    </sheetView>
  </sheetViews>
  <sheetFormatPr defaultRowHeight="15" x14ac:dyDescent="0.25"/>
  <cols>
    <col min="1" max="1" width="10.5703125" customWidth="1"/>
    <col min="2" max="3" width="10.7109375" customWidth="1"/>
    <col min="5" max="8" width="10.7109375" customWidth="1"/>
    <col min="10" max="13" width="10.7109375" customWidth="1"/>
    <col min="15" max="16" width="10.7109375" customWidth="1"/>
  </cols>
  <sheetData>
    <row r="1" spans="1:15" x14ac:dyDescent="0.25">
      <c r="A1" s="44" t="s">
        <v>86</v>
      </c>
      <c r="B1" s="44" t="s">
        <v>6</v>
      </c>
      <c r="C1" s="44" t="s">
        <v>10</v>
      </c>
      <c r="D1" s="44" t="s">
        <v>2</v>
      </c>
      <c r="E1" s="44" t="s">
        <v>3</v>
      </c>
      <c r="F1" s="44" t="s">
        <v>4</v>
      </c>
      <c r="G1" s="44" t="s">
        <v>5</v>
      </c>
      <c r="H1" s="44" t="s">
        <v>7</v>
      </c>
      <c r="I1" s="44" t="s">
        <v>44</v>
      </c>
      <c r="J1" s="44" t="s">
        <v>8</v>
      </c>
      <c r="K1" s="44" t="s">
        <v>9</v>
      </c>
      <c r="L1" s="44" t="s">
        <v>82</v>
      </c>
      <c r="M1" s="44" t="s">
        <v>83</v>
      </c>
      <c r="N1" s="44" t="s">
        <v>11</v>
      </c>
      <c r="O1" s="44" t="s">
        <v>12</v>
      </c>
    </row>
    <row r="2" spans="1:15" x14ac:dyDescent="0.25">
      <c r="A2" s="43" t="s">
        <v>6</v>
      </c>
      <c r="B2" s="45">
        <v>1</v>
      </c>
      <c r="C2" s="45">
        <v>0.84210749176402155</v>
      </c>
      <c r="D2" s="45">
        <v>0.77789364429443131</v>
      </c>
      <c r="E2" s="45">
        <v>0.60509372417494434</v>
      </c>
      <c r="F2" s="45">
        <v>-2.1110787719122136E-2</v>
      </c>
      <c r="G2" s="45">
        <v>0.6497498892805279</v>
      </c>
      <c r="H2" s="45">
        <v>0.75768877943595392</v>
      </c>
      <c r="I2" s="45">
        <v>0.85315020174304734</v>
      </c>
      <c r="J2" s="45">
        <v>0.31808153036028974</v>
      </c>
      <c r="K2" s="45">
        <v>-8.8403325408132352E-2</v>
      </c>
      <c r="L2" s="45">
        <v>0.74631019821455713</v>
      </c>
      <c r="M2" s="45">
        <v>0.49477997553340886</v>
      </c>
      <c r="N2" s="45">
        <v>0.35401403467641435</v>
      </c>
      <c r="O2" s="45">
        <v>-0.35401403555981981</v>
      </c>
    </row>
    <row r="3" spans="1:15" x14ac:dyDescent="0.25">
      <c r="A3" s="43" t="s">
        <v>44</v>
      </c>
      <c r="B3" s="45">
        <v>0.85315020174304734</v>
      </c>
      <c r="C3" s="45">
        <v>0.90216911185617743</v>
      </c>
      <c r="D3" s="45">
        <v>0.84172495720364426</v>
      </c>
      <c r="E3" s="45">
        <v>0.71461245865818823</v>
      </c>
      <c r="F3" s="45">
        <v>0.11225426136010232</v>
      </c>
      <c r="G3" s="45">
        <v>0.83457195776231374</v>
      </c>
      <c r="H3" s="45">
        <v>0.85491268785086372</v>
      </c>
      <c r="I3" s="45">
        <v>1</v>
      </c>
      <c r="J3" s="45">
        <v>0.36411302888888447</v>
      </c>
      <c r="K3" s="45">
        <v>-0.13699395004064993</v>
      </c>
      <c r="L3" s="45">
        <v>0.73564733438827612</v>
      </c>
      <c r="M3" s="45">
        <v>0.63993578085336511</v>
      </c>
      <c r="N3" s="45">
        <v>0.17889218362064654</v>
      </c>
      <c r="O3" s="45">
        <v>-0.17889218451292488</v>
      </c>
    </row>
    <row r="4" spans="1:15" x14ac:dyDescent="0.25">
      <c r="A4" s="43" t="s">
        <v>10</v>
      </c>
      <c r="B4" s="45">
        <v>0.84210749176402155</v>
      </c>
      <c r="C4" s="45">
        <v>1</v>
      </c>
      <c r="D4" s="45">
        <v>0.93076331025356152</v>
      </c>
      <c r="E4" s="45">
        <v>0.84481049610793923</v>
      </c>
      <c r="F4" s="45">
        <v>0.34475668254876896</v>
      </c>
      <c r="G4" s="45">
        <v>0.7830730636642167</v>
      </c>
      <c r="H4" s="45">
        <v>0.87560214029996108</v>
      </c>
      <c r="I4" s="45">
        <v>0.90216911185617743</v>
      </c>
      <c r="J4" s="45">
        <v>0.57007028068522769</v>
      </c>
      <c r="K4" s="45">
        <v>0.11934328919928143</v>
      </c>
      <c r="L4" s="45">
        <v>0.71370831947583691</v>
      </c>
      <c r="M4" s="45">
        <v>0.79580352208160943</v>
      </c>
      <c r="N4" s="45">
        <v>0.29437998317912517</v>
      </c>
      <c r="O4" s="45">
        <v>-0.29437998396403958</v>
      </c>
    </row>
    <row r="5" spans="1:15" x14ac:dyDescent="0.25">
      <c r="A5" s="43" t="s">
        <v>2</v>
      </c>
      <c r="B5" s="45">
        <v>0.77789364429443131</v>
      </c>
      <c r="C5" s="45">
        <v>0.93076331025356152</v>
      </c>
      <c r="D5" s="45">
        <v>1</v>
      </c>
      <c r="E5" s="45">
        <v>0.70754628742021719</v>
      </c>
      <c r="F5" s="45">
        <v>0.35276238417347455</v>
      </c>
      <c r="G5" s="45">
        <v>0.71573957380996378</v>
      </c>
      <c r="H5" s="45">
        <v>0.78645145602400712</v>
      </c>
      <c r="I5" s="45">
        <v>0.84172495720364426</v>
      </c>
      <c r="J5" s="45">
        <v>0.45749671997442048</v>
      </c>
      <c r="K5" s="45">
        <v>0.12547359761660759</v>
      </c>
      <c r="L5" s="45">
        <v>0.56034446757968992</v>
      </c>
      <c r="M5" s="45">
        <v>0.78490548182297082</v>
      </c>
      <c r="N5" s="45">
        <v>0.15011416512746584</v>
      </c>
      <c r="O5" s="45">
        <v>-0.15011416550535914</v>
      </c>
    </row>
    <row r="6" spans="1:15" x14ac:dyDescent="0.25">
      <c r="A6" s="43" t="s">
        <v>7</v>
      </c>
      <c r="B6" s="45">
        <v>0.75768877943595392</v>
      </c>
      <c r="C6" s="45">
        <v>0.87560214029996108</v>
      </c>
      <c r="D6" s="45">
        <v>0.78645145602400712</v>
      </c>
      <c r="E6" s="45">
        <v>0.82255850405790853</v>
      </c>
      <c r="F6" s="45">
        <v>0.33820439710695288</v>
      </c>
      <c r="G6" s="45">
        <v>0.61618897240669068</v>
      </c>
      <c r="H6" s="45">
        <v>1</v>
      </c>
      <c r="I6" s="45">
        <v>0.85491268785086372</v>
      </c>
      <c r="J6" s="45">
        <v>0.39978869926270655</v>
      </c>
      <c r="K6" s="45">
        <v>5.4094488322593892E-2</v>
      </c>
      <c r="L6" s="45">
        <v>0.64523227120298188</v>
      </c>
      <c r="M6" s="45">
        <v>0.70213006565265768</v>
      </c>
      <c r="N6" s="45">
        <v>0.17822072233913799</v>
      </c>
      <c r="O6" s="45">
        <v>-0.17822072353334725</v>
      </c>
    </row>
    <row r="7" spans="1:15" x14ac:dyDescent="0.25">
      <c r="A7" s="43" t="s">
        <v>82</v>
      </c>
      <c r="B7" s="45">
        <v>0.74631019821455713</v>
      </c>
      <c r="C7" s="45">
        <v>0.71370831947583691</v>
      </c>
      <c r="D7" s="45">
        <v>0.56034446757968992</v>
      </c>
      <c r="E7" s="45">
        <v>0.6374231841508311</v>
      </c>
      <c r="F7" s="45">
        <v>-8.0521302929587285E-2</v>
      </c>
      <c r="G7" s="45">
        <v>0.5844263019204502</v>
      </c>
      <c r="H7" s="45">
        <v>0.64523227120298188</v>
      </c>
      <c r="I7" s="45">
        <v>0.73564733438827612</v>
      </c>
      <c r="J7" s="45">
        <v>0.39028075246502414</v>
      </c>
      <c r="K7" s="45">
        <v>1.5130282522140215E-2</v>
      </c>
      <c r="L7" s="45">
        <v>1</v>
      </c>
      <c r="M7" s="45">
        <v>0.53083050958248212</v>
      </c>
      <c r="N7" s="45">
        <v>0.7552482339923321</v>
      </c>
      <c r="O7" s="45">
        <v>-0.75524823443767231</v>
      </c>
    </row>
    <row r="8" spans="1:15" x14ac:dyDescent="0.25">
      <c r="A8" s="43" t="s">
        <v>5</v>
      </c>
      <c r="B8" s="45">
        <v>0.6497498892805279</v>
      </c>
      <c r="C8" s="45">
        <v>0.7830730636642167</v>
      </c>
      <c r="D8" s="45">
        <v>0.71573957380996378</v>
      </c>
      <c r="E8" s="45">
        <v>0.62584799873562447</v>
      </c>
      <c r="F8" s="45">
        <v>0.23339883344810203</v>
      </c>
      <c r="G8" s="45">
        <v>1</v>
      </c>
      <c r="H8" s="45">
        <v>0.61618897240669068</v>
      </c>
      <c r="I8" s="45">
        <v>0.83457195776231374</v>
      </c>
      <c r="J8" s="45">
        <v>0.3738430619870638</v>
      </c>
      <c r="K8" s="45">
        <v>-0.19093893102410356</v>
      </c>
      <c r="L8" s="45">
        <v>0.5844263019204502</v>
      </c>
      <c r="M8" s="45">
        <v>0.53492452299141979</v>
      </c>
      <c r="N8" s="45">
        <v>4.0096708633221276E-2</v>
      </c>
      <c r="O8" s="45">
        <v>-4.009670898778879E-2</v>
      </c>
    </row>
    <row r="9" spans="1:15" x14ac:dyDescent="0.25">
      <c r="A9" s="43" t="s">
        <v>3</v>
      </c>
      <c r="B9" s="45">
        <v>0.60509372417494434</v>
      </c>
      <c r="C9" s="45">
        <v>0.84481049610793923</v>
      </c>
      <c r="D9" s="45">
        <v>0.70754628742021719</v>
      </c>
      <c r="E9" s="45">
        <v>1</v>
      </c>
      <c r="F9" s="45">
        <v>0.41795570979838148</v>
      </c>
      <c r="G9" s="45">
        <v>0.62584799873562447</v>
      </c>
      <c r="H9" s="45">
        <v>0.82255850405790853</v>
      </c>
      <c r="I9" s="45">
        <v>0.71461245865818823</v>
      </c>
      <c r="J9" s="45">
        <v>0.56593166607706269</v>
      </c>
      <c r="K9" s="45">
        <v>0.18467501024175836</v>
      </c>
      <c r="L9" s="45">
        <v>0.6374231841508311</v>
      </c>
      <c r="M9" s="45">
        <v>0.73086629365414657</v>
      </c>
      <c r="N9" s="45">
        <v>0.33760312137601212</v>
      </c>
      <c r="O9" s="45">
        <v>-0.33760312224560141</v>
      </c>
    </row>
    <row r="10" spans="1:15" x14ac:dyDescent="0.25">
      <c r="A10" s="43" t="s">
        <v>83</v>
      </c>
      <c r="B10" s="45">
        <v>0.49477997553340886</v>
      </c>
      <c r="C10" s="45">
        <v>0.79580352208160943</v>
      </c>
      <c r="D10" s="45">
        <v>0.78490548182297082</v>
      </c>
      <c r="E10" s="45">
        <v>0.73086629365414657</v>
      </c>
      <c r="F10" s="45">
        <v>0.49971520622442916</v>
      </c>
      <c r="G10" s="45">
        <v>0.53492452299141979</v>
      </c>
      <c r="H10" s="45">
        <v>0.70213006565265768</v>
      </c>
      <c r="I10" s="45">
        <v>0.63993578085336511</v>
      </c>
      <c r="J10" s="45">
        <v>0.45368925178823427</v>
      </c>
      <c r="K10" s="45">
        <v>0.39084985694857732</v>
      </c>
      <c r="L10" s="45">
        <v>0.53083050958248212</v>
      </c>
      <c r="M10" s="45">
        <v>1</v>
      </c>
      <c r="N10" s="45">
        <v>0.2929038988478832</v>
      </c>
      <c r="O10" s="45">
        <v>-0.29290389962751806</v>
      </c>
    </row>
    <row r="11" spans="1:15" x14ac:dyDescent="0.25">
      <c r="A11" s="43" t="s">
        <v>11</v>
      </c>
      <c r="B11" s="45">
        <v>0.35401403467641435</v>
      </c>
      <c r="C11" s="45">
        <v>0.29437998317912517</v>
      </c>
      <c r="D11" s="45">
        <v>0.15011416512746584</v>
      </c>
      <c r="E11" s="45">
        <v>0.33760312137601212</v>
      </c>
      <c r="F11" s="45">
        <v>-0.1826432998618058</v>
      </c>
      <c r="G11" s="45">
        <v>4.0096708633221276E-2</v>
      </c>
      <c r="H11" s="45">
        <v>0.17822072233913799</v>
      </c>
      <c r="I11" s="45">
        <v>0.17889218362064654</v>
      </c>
      <c r="J11" s="45">
        <v>0.36302354646929141</v>
      </c>
      <c r="K11" s="45">
        <v>0.28528109892903392</v>
      </c>
      <c r="L11" s="45">
        <v>0.7552482339923321</v>
      </c>
      <c r="M11" s="45">
        <v>0.2929038988478832</v>
      </c>
      <c r="N11" s="45">
        <v>1</v>
      </c>
      <c r="O11" s="45">
        <v>-0.99999999999999922</v>
      </c>
    </row>
    <row r="12" spans="1:15" x14ac:dyDescent="0.25">
      <c r="A12" s="43" t="s">
        <v>8</v>
      </c>
      <c r="B12" s="45">
        <v>0.31808153036028974</v>
      </c>
      <c r="C12" s="45">
        <v>0.57007028068522769</v>
      </c>
      <c r="D12" s="45">
        <v>0.45749671997442048</v>
      </c>
      <c r="E12" s="45">
        <v>0.56593166607706269</v>
      </c>
      <c r="F12" s="45">
        <v>0.20995721534945316</v>
      </c>
      <c r="G12" s="45">
        <v>0.3738430619870638</v>
      </c>
      <c r="H12" s="45">
        <v>0.39978869926270655</v>
      </c>
      <c r="I12" s="45">
        <v>0.36411302888888447</v>
      </c>
      <c r="J12" s="45">
        <v>1</v>
      </c>
      <c r="K12" s="45">
        <v>0.48691679839531943</v>
      </c>
      <c r="L12" s="45">
        <v>0.39028075246502414</v>
      </c>
      <c r="M12" s="45">
        <v>0.45368925178823427</v>
      </c>
      <c r="N12" s="45">
        <v>0.36302354646929141</v>
      </c>
      <c r="O12" s="45">
        <v>-0.36302354541574777</v>
      </c>
    </row>
    <row r="13" spans="1:15" x14ac:dyDescent="0.25">
      <c r="A13" s="43" t="s">
        <v>4</v>
      </c>
      <c r="B13" s="45">
        <v>-2.1110787719122136E-2</v>
      </c>
      <c r="C13" s="45">
        <v>0.34475668254876896</v>
      </c>
      <c r="D13" s="45">
        <v>0.35276238417347455</v>
      </c>
      <c r="E13" s="45">
        <v>0.41795570979838148</v>
      </c>
      <c r="F13" s="45">
        <v>1</v>
      </c>
      <c r="G13" s="45">
        <v>0.23339883344810203</v>
      </c>
      <c r="H13" s="45">
        <v>0.33820439710695288</v>
      </c>
      <c r="I13" s="45">
        <v>0.11225426136010232</v>
      </c>
      <c r="J13" s="45">
        <v>0.20995721534945316</v>
      </c>
      <c r="K13" s="45">
        <v>0.26302020023179229</v>
      </c>
      <c r="L13" s="45">
        <v>-8.0521302929587285E-2</v>
      </c>
      <c r="M13" s="45">
        <v>0.49971520622442916</v>
      </c>
      <c r="N13" s="45">
        <v>-0.1826432998618058</v>
      </c>
      <c r="O13" s="45">
        <v>0.18264329909680935</v>
      </c>
    </row>
    <row r="14" spans="1:15" x14ac:dyDescent="0.25">
      <c r="A14" s="43" t="s">
        <v>9</v>
      </c>
      <c r="B14" s="45">
        <v>-8.8403325408132352E-2</v>
      </c>
      <c r="C14" s="45">
        <v>0.11934328919928143</v>
      </c>
      <c r="D14" s="45">
        <v>0.12547359761660759</v>
      </c>
      <c r="E14" s="45">
        <v>0.18467501024175836</v>
      </c>
      <c r="F14" s="45">
        <v>0.26302020023179229</v>
      </c>
      <c r="G14" s="45">
        <v>-0.19093893102410356</v>
      </c>
      <c r="H14" s="45">
        <v>5.4094488322593892E-2</v>
      </c>
      <c r="I14" s="45">
        <v>-0.13699395004064993</v>
      </c>
      <c r="J14" s="45">
        <v>0.48691679839531943</v>
      </c>
      <c r="K14" s="45">
        <v>1</v>
      </c>
      <c r="L14" s="45">
        <v>1.5130282522140215E-2</v>
      </c>
      <c r="M14" s="45">
        <v>0.39084985694857732</v>
      </c>
      <c r="N14" s="45">
        <v>0.28528109892903392</v>
      </c>
      <c r="O14" s="45">
        <v>-0.2852810996026135</v>
      </c>
    </row>
    <row r="15" spans="1:15" x14ac:dyDescent="0.25">
      <c r="A15" s="43" t="s">
        <v>12</v>
      </c>
      <c r="B15" s="45">
        <v>-0.35401403555981981</v>
      </c>
      <c r="C15" s="45">
        <v>-0.29437998396403958</v>
      </c>
      <c r="D15" s="45">
        <v>-0.15011416550535914</v>
      </c>
      <c r="E15" s="45">
        <v>-0.33760312224560141</v>
      </c>
      <c r="F15" s="45">
        <v>0.18264329909680935</v>
      </c>
      <c r="G15" s="45">
        <v>-4.009670898778879E-2</v>
      </c>
      <c r="H15" s="45">
        <v>-0.17822072353334725</v>
      </c>
      <c r="I15" s="45">
        <v>-0.17889218451292488</v>
      </c>
      <c r="J15" s="45">
        <v>-0.36302354541574777</v>
      </c>
      <c r="K15" s="45">
        <v>-0.2852810996026135</v>
      </c>
      <c r="L15" s="45">
        <v>-0.75524823443767231</v>
      </c>
      <c r="M15" s="45">
        <v>-0.29290389962751806</v>
      </c>
      <c r="N15" s="45">
        <v>-0.99999999999999922</v>
      </c>
      <c r="O15" s="45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modelos_APT_2025</vt:lpstr>
      <vt:lpstr>fatores</vt:lpstr>
      <vt:lpstr>retornos</vt:lpstr>
      <vt:lpstr>precos</vt:lpstr>
      <vt:lpstr>correlacao_fatores</vt:lpstr>
      <vt:lpstr>Planilha1</vt:lpstr>
      <vt:lpstr>correlacao_ativos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Máquina</dc:creator>
  <cp:lastModifiedBy>João Fernando Fialho</cp:lastModifiedBy>
  <dcterms:created xsi:type="dcterms:W3CDTF">2015-06-05T18:19:34Z</dcterms:created>
  <dcterms:modified xsi:type="dcterms:W3CDTF">2025-11-23T17:12:43Z</dcterms:modified>
</cp:coreProperties>
</file>